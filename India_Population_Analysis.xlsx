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10440" tabRatio="500" activeTab="4"/>
  </bookViews>
  <sheets>
    <sheet name="Raw_Data" sheetId="1" r:id="rId1"/>
    <sheet name="Data_Cleaning" sheetId="2" r:id="rId2"/>
    <sheet name="Analysis" sheetId="3" r:id="rId3"/>
    <sheet name="Pivot_Summary" sheetId="4" r:id="rId4"/>
    <sheet name="Charts" sheetId="5" r:id="rId5"/>
    <sheet name="Dashboard" sheetId="6" r:id="rId6"/>
    <sheet name="README" sheetId="7" r:id="rId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<sst xmlns="http://schemas.openxmlformats.org/spreadsheetml/2006/main" count="492" uniqueCount="275">
  <si>
    <t>🇮🇳  INDIA POPULATION DATA ANALYSIS  |  State &amp; UT wise Census Data  |  2001 – 2021</t>
  </si>
  <si>
    <t>Source: Census of India 2001, 2011 | 2021 Projected | 36 States &amp; Union Territories</t>
  </si>
  <si>
    <t>State / UT</t>
  </si>
  <si>
    <t>Region</t>
  </si>
  <si>
    <t>Category</t>
  </si>
  <si>
    <t>Area (km²)</t>
  </si>
  <si>
    <t>Population 2001</t>
  </si>
  <si>
    <t>Population 2011</t>
  </si>
  <si>
    <t>Population 2021*</t>
  </si>
  <si>
    <t>Urban Pop 2011</t>
  </si>
  <si>
    <t>Rural Pop 2011</t>
  </si>
  <si>
    <t>Male Pop 2011</t>
  </si>
  <si>
    <t>Female Pop 2011</t>
  </si>
  <si>
    <t>Density 2011</t>
  </si>
  <si>
    <t>Literacy %</t>
  </si>
  <si>
    <t>Growth Rate %</t>
  </si>
  <si>
    <t>HDI Score</t>
  </si>
  <si>
    <t>Capital City</t>
  </si>
  <si>
    <t>Uttar Pradesh</t>
  </si>
  <si>
    <t>North</t>
  </si>
  <si>
    <t>State</t>
  </si>
  <si>
    <t>Lucknow</t>
  </si>
  <si>
    <t>Maharashtra</t>
  </si>
  <si>
    <t>West</t>
  </si>
  <si>
    <t>Mumbai</t>
  </si>
  <si>
    <t>Bihar</t>
  </si>
  <si>
    <t>East</t>
  </si>
  <si>
    <t>Patna</t>
  </si>
  <si>
    <t>West Bengal</t>
  </si>
  <si>
    <t>Kolkata</t>
  </si>
  <si>
    <t>Madhya Pradesh</t>
  </si>
  <si>
    <t>Central</t>
  </si>
  <si>
    <t>Bhopal</t>
  </si>
  <si>
    <t>Rajasthan</t>
  </si>
  <si>
    <t>Jaipur</t>
  </si>
  <si>
    <t>Tamil Nadu</t>
  </si>
  <si>
    <t>South</t>
  </si>
  <si>
    <t>Chennai</t>
  </si>
  <si>
    <t>Karnataka</t>
  </si>
  <si>
    <t>Bengaluru</t>
  </si>
  <si>
    <t>Gujarat</t>
  </si>
  <si>
    <t>Gandhinagar</t>
  </si>
  <si>
    <t>Andhra Pradesh</t>
  </si>
  <si>
    <t>Amaravati</t>
  </si>
  <si>
    <t>Telangana</t>
  </si>
  <si>
    <t>Hyderabad</t>
  </si>
  <si>
    <t>Odisha</t>
  </si>
  <si>
    <t>Bhubaneswar</t>
  </si>
  <si>
    <t>Kerala</t>
  </si>
  <si>
    <t>Thiruvananthapuram</t>
  </si>
  <si>
    <t>Jharkhand</t>
  </si>
  <si>
    <t>Ranchi</t>
  </si>
  <si>
    <t>Assam</t>
  </si>
  <si>
    <t>Northeast</t>
  </si>
  <si>
    <t>Dispur</t>
  </si>
  <si>
    <t>Punjab</t>
  </si>
  <si>
    <t>Chandigarh</t>
  </si>
  <si>
    <t>Haryana</t>
  </si>
  <si>
    <t>Chhattisgarh</t>
  </si>
  <si>
    <t>Raipur</t>
  </si>
  <si>
    <t>Uttarakhand</t>
  </si>
  <si>
    <t>Dehradun</t>
  </si>
  <si>
    <t>Himachal Pradesh</t>
  </si>
  <si>
    <t>Shimla</t>
  </si>
  <si>
    <t>Tripura</t>
  </si>
  <si>
    <t>Agartala</t>
  </si>
  <si>
    <t>Meghalaya</t>
  </si>
  <si>
    <t>Shillong</t>
  </si>
  <si>
    <t>Manipur</t>
  </si>
  <si>
    <t>Imphal</t>
  </si>
  <si>
    <t>Nagaland</t>
  </si>
  <si>
    <t>Kohima</t>
  </si>
  <si>
    <t>Goa</t>
  </si>
  <si>
    <t>Panaji</t>
  </si>
  <si>
    <t>Arunachal Pradesh</t>
  </si>
  <si>
    <t>Itanagar</t>
  </si>
  <si>
    <t>Mizoram</t>
  </si>
  <si>
    <t>Aizawl</t>
  </si>
  <si>
    <t>Sikkim</t>
  </si>
  <si>
    <t>Gangtok</t>
  </si>
  <si>
    <t>Delhi</t>
  </si>
  <si>
    <t>UT</t>
  </si>
  <si>
    <t>New Delhi</t>
  </si>
  <si>
    <t>Jammu &amp; Kashmir</t>
  </si>
  <si>
    <t>Srinagar</t>
  </si>
  <si>
    <t>Puducherry</t>
  </si>
  <si>
    <t>Dadra &amp; NH / DD</t>
  </si>
  <si>
    <t>Daman</t>
  </si>
  <si>
    <t>Andaman &amp; Nicobar</t>
  </si>
  <si>
    <t>Port Blair</t>
  </si>
  <si>
    <t>Lakshadweep</t>
  </si>
  <si>
    <t>Kavaratti</t>
  </si>
  <si>
    <t>Ladakh</t>
  </si>
  <si>
    <t>Leh</t>
  </si>
  <si>
    <t>* 2021 Population = Projected estimate. Census was delayed due to COVID-19.</t>
  </si>
  <si>
    <t>🔍  DATA CLEANING &amp; QUALITY CHECKS  |  India Population Dataset</t>
  </si>
  <si>
    <t>State/UT</t>
  </si>
  <si>
    <t>Urban+Rural Check</t>
  </si>
  <si>
    <t>Gender Check</t>
  </si>
  <si>
    <t>Density Check</t>
  </si>
  <si>
    <t>Literacy Valid?</t>
  </si>
  <si>
    <t>Growth Rate Flag</t>
  </si>
  <si>
    <t>HDI Valid?</t>
  </si>
  <si>
    <t>Quality Status</t>
  </si>
  <si>
    <t>📊  POPULATION ANALYSIS  |  India State-wise Metrics &amp; Formulas</t>
  </si>
  <si>
    <t xml:space="preserve">  SECTION A — State-wise Summary  (SUMIF / AVERAGEIF / COUNTIF / VLOOKUP)</t>
  </si>
  <si>
    <t>Pop Growth (Abs)</t>
  </si>
  <si>
    <t>Growth %</t>
  </si>
  <si>
    <t xml:space="preserve">  INDIA TOTALS</t>
  </si>
  <si>
    <t>INDIA TOTAL</t>
  </si>
  <si>
    <t xml:space="preserve">  SECTION B — Regional Analysis  (SUMIFS / AVERAGEIFS / COUNTIFS)</t>
  </si>
  <si>
    <t>States Count</t>
  </si>
  <si>
    <t>Total Pop 2011</t>
  </si>
  <si>
    <t>Total Pop 2021</t>
  </si>
  <si>
    <t>Urban Pop</t>
  </si>
  <si>
    <t>Rural Pop</t>
  </si>
  <si>
    <t>Avg Literacy</t>
  </si>
  <si>
    <t>Avg Density</t>
  </si>
  <si>
    <t xml:space="preserve">  SECTION C — Urban vs Rural Summary  (SUMIFS / IF / COUNTIFS)</t>
  </si>
  <si>
    <t>States</t>
  </si>
  <si>
    <t>Urban %</t>
  </si>
  <si>
    <t>Rural %</t>
  </si>
  <si>
    <t>States Only</t>
  </si>
  <si>
    <t>UTs Only</t>
  </si>
  <si>
    <t>All India</t>
  </si>
  <si>
    <t xml:space="preserve">  SECTION D — Rankings &amp; Extremes  (LARGE / SMALL / IF / RANK)</t>
  </si>
  <si>
    <t>Metric</t>
  </si>
  <si>
    <t>#1</t>
  </si>
  <si>
    <t>#2</t>
  </si>
  <si>
    <t>#3</t>
  </si>
  <si>
    <t>#4</t>
  </si>
  <si>
    <t>#5</t>
  </si>
  <si>
    <t>Most Populous (2021)</t>
  </si>
  <si>
    <t>Highest Density</t>
  </si>
  <si>
    <t>Best Literacy</t>
  </si>
  <si>
    <t>Fastest Growing</t>
  </si>
  <si>
    <t>Highest HDI</t>
  </si>
  <si>
    <t>📋  PIVOT SUMMARY TABLES  |  Multi-Dimensional India Population</t>
  </si>
  <si>
    <t xml:space="preserve">  PIVOT 1 — Population by Region (2001, 2011, 2021)</t>
  </si>
  <si>
    <t>Pop 2001</t>
  </si>
  <si>
    <t>Pop 2011</t>
  </si>
  <si>
    <t>Pop 2021*</t>
  </si>
  <si>
    <t>Growth 01-11</t>
  </si>
  <si>
    <t>Growth 11-21</t>
  </si>
  <si>
    <t xml:space="preserve">  PIVOT 2 — State vs Union Territory Comparison (2011)</t>
  </si>
  <si>
    <t>Count</t>
  </si>
  <si>
    <t>Total Pop</t>
  </si>
  <si>
    <t>Union Territories</t>
  </si>
  <si>
    <t xml:space="preserve">  PIVOT 3 — States by Literacy Bracket  (COUNTIFS / SUMIFS / AVERAGEIFS)</t>
  </si>
  <si>
    <t>Literacy Range</t>
  </si>
  <si>
    <t>State Count</t>
  </si>
  <si>
    <t>Avg Growth Rate</t>
  </si>
  <si>
    <t>Avg HDI</t>
  </si>
  <si>
    <t>Urbanization %</t>
  </si>
  <si>
    <t>90%+</t>
  </si>
  <si>
    <t>80–90%</t>
  </si>
  <si>
    <t>70–80%</t>
  </si>
  <si>
    <t>60–70%</t>
  </si>
  <si>
    <t>Below 60%</t>
  </si>
  <si>
    <t>📈  CHARTS &amp; VISUALIZATIONS  |  India Population Analysis</t>
  </si>
  <si>
    <t>Top 10 States — Population 2021</t>
  </si>
  <si>
    <t>Regional Population 2021</t>
  </si>
  <si>
    <t>Pop 2021 (M)</t>
  </si>
  <si>
    <t>Urban vs Rural by Region (2011)</t>
  </si>
  <si>
    <t>Urban (M)</t>
  </si>
  <si>
    <t>Rural (M)</t>
  </si>
  <si>
    <t>NE</t>
  </si>
  <si>
    <t>🇮🇳  INDIA POPULATION ANALYSIS DASHBOARD  |  State &amp; UT wise  |  2001–2021</t>
  </si>
  <si>
    <t>36 States &amp; Union Territories  |  Census 2001, 2011  |  2021 Projected  |  Interactive Lookup</t>
  </si>
  <si>
    <t>🇮🇳 Total Pop 2021</t>
  </si>
  <si>
    <t>🏙 Urban Pop 2011</t>
  </si>
  <si>
    <t>🌾 Rural Pop 2011</t>
  </si>
  <si>
    <t>📖 Avg Literacy</t>
  </si>
  <si>
    <t>📈 Avg Growth Rate</t>
  </si>
  <si>
    <t>👥 Avg Density</t>
  </si>
  <si>
    <t>▲ Latest Available</t>
  </si>
  <si>
    <t xml:space="preserve">  🔎  STATE / UT LOOKUP TOOL  —  Enter any State or UT name below</t>
  </si>
  <si>
    <t>Enter State/UT:</t>
  </si>
  <si>
    <t>Density (/km²)</t>
  </si>
  <si>
    <t xml:space="preserve">  📊  REGIONAL POPULATION SUMMARY TABLE  (2001 → 2011 → 2021)</t>
  </si>
  <si>
    <t>Growth 01→11</t>
  </si>
  <si>
    <t>Growth 11→21</t>
  </si>
  <si>
    <t>Urbanization</t>
  </si>
  <si>
    <t>🇮🇳 INDIA TOTAL</t>
  </si>
  <si>
    <t xml:space="preserve">  📚  LITERACY &amp; HDI ANALYSIS  (AVERAGEIFS / COUNTIFS)</t>
  </si>
  <si>
    <t>Growth Rate</t>
  </si>
  <si>
    <t>Density</t>
  </si>
  <si>
    <t>Classification</t>
  </si>
  <si>
    <t xml:space="preserve">  💡  KEY INSIGHTS — India Population Analysis</t>
  </si>
  <si>
    <t>1️⃣  Uttar Pradesh is India's most populous state with ~235 million people (2021) — larger than Brazil's entire population.</t>
  </si>
  <si>
    <t>2️⃣  Delhi has the highest population density at 11,320 /km², followed by Chandigarh (9,258 /km²) among all states/UTs.</t>
  </si>
  <si>
    <t>3️⃣  Kerala leads in literacy (94.0%) while Bihar lags at 63.8%, reflecting North-South development disparity.</t>
  </si>
  <si>
    <t>4️⃣  India's urbanization rate grew from ~27% (2001) to ~31% (2011) — still significantly below global average of ~56%.</t>
  </si>
  <si>
    <t>5️⃣  Northeast states (Nagaland, Sikkim) have very low densities (&lt;90/km²) vs national average of ~382/km² (2011).</t>
  </si>
  <si>
    <t>6️⃣  India's population grew by ~181 million in 2001–2011 decade, slowing from previous decades due to declining birth rates.</t>
  </si>
  <si>
    <t>📘  PROJECT DOCUMENTATION — India Population Data Analysis</t>
  </si>
  <si>
    <t xml:space="preserve">  ▶  PROJECT OVERVIEW</t>
  </si>
  <si>
    <t xml:space="preserve">    Project Title : India Population Data Analysis  |  State &amp; UT wise Census Data</t>
  </si>
  <si>
    <t xml:space="preserve">    Level         : Beginner to Intermediate</t>
  </si>
  <si>
    <t xml:space="preserve">    Dataset       : 36 States &amp; UTs × 16 attributes = 576 data points</t>
  </si>
  <si>
    <t xml:space="preserve">    Years Covered : Census 2001, Census 2011, Projected 2021</t>
  </si>
  <si>
    <t xml:space="preserve">    Purpose       : Analyze state-wise population, urbanization, literacy, growth &amp; density</t>
  </si>
  <si>
    <t xml:space="preserve">    Tools Used    : Microsoft Excel (No VBA, No Macros, No Power Query)</t>
  </si>
  <si>
    <t xml:space="preserve">    Data Source   : Census of India 2001 &amp; 2011 (Office of Registrar General of India)</t>
  </si>
  <si>
    <t xml:space="preserve">  ▶  SHEET STRUCTURE</t>
  </si>
  <si>
    <t xml:space="preserve">    1. Raw_Data       — 36 rows × 16 cols. Data validation (dropdowns + range), conditional formatting, freeze panes</t>
  </si>
  <si>
    <t xml:space="preserve">    2. Data_Cleaning  — IF/AND/ISNUMBER quality checks. Urban+Rural=Total, gender sum, density validation, status flags</t>
  </si>
  <si>
    <t xml:space="preserve">    3. Analysis       — VLOOKUP, SUMIF, COUNTIF, AVERAGEIF, SUMIFS, AVERAGEIFS, LARGE/INDEX/MATCH rankings</t>
  </si>
  <si>
    <t xml:space="preserve">    4. Pivot_Summary  — 3 pivot tables: Region×Year, State/UT comparison, Literacy bracket analysis</t>
  </si>
  <si>
    <t xml:space="preserve">    5. Charts         — 3 charts: Horizontal bar (Top 10 states), Pie (regional share), Stacked bar (urban/rural)</t>
  </si>
  <si>
    <t xml:space="preserve">    6. Dashboard      — KPI cards + VLOOKUP state lookup tool + Regional table + Literacy/HDI analysis + 6 insights</t>
  </si>
  <si>
    <t xml:space="preserve">    7. README         — This documentation sheet with full project guide</t>
  </si>
  <si>
    <t xml:space="preserve">  ▶  FORMULAS USED</t>
  </si>
  <si>
    <t xml:space="preserve">    IF()           → Literacy classification (High/Medium/Low), data quality flags, category checks</t>
  </si>
  <si>
    <t xml:space="preserve">    AND()          → Multi-condition data validation in cleaning sheet</t>
  </si>
  <si>
    <t xml:space="preserve">    COUNTIF()      → Count states per region or category</t>
  </si>
  <si>
    <t xml:space="preserve">    COUNTIFS()     → Count states within literacy bracket ranges</t>
  </si>
  <si>
    <t xml:space="preserve">    SUMIF()        → Total population by region, urban/rural by category</t>
  </si>
  <si>
    <t xml:space="preserve">    SUMIFS()       → Population aggregations with multiple criteria</t>
  </si>
  <si>
    <t xml:space="preserve">    AVERAGEIF()    → Average literacy/density by region</t>
  </si>
  <si>
    <t xml:space="preserve">    AVERAGEIFS()   → Multi-condition averages (literacy within HDI ranges)</t>
  </si>
  <si>
    <t xml:space="preserve">    VLOOKUP()      → State lookup tool on Dashboard (primary lookup formula)</t>
  </si>
  <si>
    <t xml:space="preserve">    INDEX/MATCH()  → Rank-based lookups for Top 5 analysis (Analysis sheet)</t>
  </si>
  <si>
    <t xml:space="preserve">    LARGE()        → Get top N values from population/density/literacy columns</t>
  </si>
  <si>
    <t xml:space="preserve">    IFERROR()      → Graceful error handling in all lookup formulas</t>
  </si>
  <si>
    <t xml:space="preserve">    TEXT()         → Format KPI card values (e.g., '1.43 B', '382 /km²')</t>
  </si>
  <si>
    <t xml:space="preserve">    SUMPRODUCT()   → Pivot table multi-criteria calculations</t>
  </si>
  <si>
    <t xml:space="preserve">  ▶  DATA FEATURES</t>
  </si>
  <si>
    <t xml:space="preserve">    ✅ Data Validation    → Category: State/UT dropdown | Region dropdown | HDI: 0–1 numeric range</t>
  </si>
  <si>
    <t xml:space="preserve">    ✅ Conditional Format → Growth rate color scale (red→yellow→green) | Density data bars (saffron)</t>
  </si>
  <si>
    <t xml:space="preserve">                            Literacy color scale | Population 2021 gradient fill</t>
  </si>
  <si>
    <t xml:space="preserve">    ✅ Freeze Panes       → Row 1–2 locked on Raw_Data for scroll-friendly browsing</t>
  </si>
  <si>
    <t xml:space="preserve">    ✅ Alternating Rows   → Saffron/White zebra striping; Green tint for UT rows</t>
  </si>
  <si>
    <t xml:space="preserve">    ✅ Data Quality Sheet → Automated checks for urban+rural sum, gender sum, density accuracy</t>
  </si>
  <si>
    <t xml:space="preserve">    ✅ Tab Color Coding   → Saffron=Raw, Teal=Cleaning, Gold=Analysis, Navy=Pivot, Green=Charts, Orange=Dashboard</t>
  </si>
  <si>
    <t xml:space="preserve">  ▶  RESUME DESCRIPTION</t>
  </si>
  <si>
    <t xml:space="preserve">    India Population Data Analysis Dashboard | Microsoft Excel</t>
  </si>
  <si>
    <t xml:space="preserve">    </t>
  </si>
  <si>
    <t xml:space="preserve">    • Designed a 7-sheet Excel workbook analyzing India's Census data for all 36 states &amp; UTs (2001–2021)</t>
  </si>
  <si>
    <t xml:space="preserve">    • Applied 14 Excel functions: IF, SUMIFS, AVERAGEIFS, VLOOKUP, COUNTIFS, LARGE, INDEX/MATCH, IFERROR, TEXT</t>
  </si>
  <si>
    <t xml:space="preserve">    • Built an interactive state lookup tool using VLOOKUP returning 14 metrics for any entered state/UT</t>
  </si>
  <si>
    <t xml:space="preserve">    • Created KPI dashboard with 6 metrics, 3 pivot tables, and 3 visualizations (Bar, Pie, Stacked Bar)</t>
  </si>
  <si>
    <t xml:space="preserve">    • Implemented data validation (dropdown lists, range checks) and 4 conditional formatting rules</t>
  </si>
  <si>
    <t xml:space="preserve">    • Automated data quality checks detecting urban+rural sum mismatches, literacy anomalies, HDI outliers</t>
  </si>
  <si>
    <t xml:space="preserve">    • Identified key insights: Delhi's 11,320/km² density, Kerala's 94% literacy vs Bihar's 63.8% disparity</t>
  </si>
  <si>
    <t xml:space="preserve">  ▶  LINKEDIN POST</t>
  </si>
  <si>
    <t xml:space="preserve">    🇮🇳 Built a complete India Population Analysis Dashboard in Excel!</t>
  </si>
  <si>
    <t xml:space="preserve">    Analyzed Census data for all 36 States &amp; UTs across 3 decades using:</t>
  </si>
  <si>
    <t xml:space="preserve">    📊 14 Excel functions: SUMIFS, AVERAGEIFS, VLOOKUP, COUNTIFS, LARGE, INDEX/MATCH</t>
  </si>
  <si>
    <t xml:space="preserve">    🎨 Professional tricolor-themed dashboard with KPI cards &amp; interactive state lookup</t>
  </si>
  <si>
    <t xml:space="preserve">    📋 3 pivot tables: Region × Census Year, State vs UT comparison, Literacy brackets</t>
  </si>
  <si>
    <t xml:space="preserve">    📈 3 charts: Top 10 states bar, Regional pie chart, Urban vs Rural stacked bars</t>
  </si>
  <si>
    <t xml:space="preserve">    🔍 Automated data quality sheet validating 576 data points across 16 attributes</t>
  </si>
  <si>
    <t xml:space="preserve">    🔑 Key Findings:</t>
  </si>
  <si>
    <t xml:space="preserve">    • UP's 235M population &gt; Brazil's entire population</t>
  </si>
  <si>
    <t xml:space="preserve">    • India's urbanization still at 31% vs world average 56%</t>
  </si>
  <si>
    <t xml:space="preserve">    • Kerala (94%) vs Bihar (63.8%) — literacy gap remains a challenge</t>
  </si>
  <si>
    <t xml:space="preserve">    • Delhi density 11,320/km² — 29x the national average</t>
  </si>
  <si>
    <t xml:space="preserve">    #Excel #DataAnalysis #India #Census #Population #Portfolio #DataAnalytics #Visualization</t>
  </si>
  <si>
    <t xml:space="preserve">  ▶  INTERVIEW Q&amp;A</t>
  </si>
  <si>
    <t xml:space="preserve">    Q1: Why India-specific instead of global data?</t>
  </si>
  <si>
    <t xml:space="preserve">    A1: India's federal structure with 36 states/UTs, vast regional diversity, and 3 census snapshots</t>
  </si>
  <si>
    <t xml:space="preserve">        makes it ideal for SUMIFS/AVERAGEIFS analysis across multiple dimensions (region, literacy, HDI).</t>
  </si>
  <si>
    <t xml:space="preserve">    Q2: How did you handle the VLOOKUP for the state lookup tool?</t>
  </si>
  <si>
    <t xml:space="preserve">    A2: Used VLOOKUP with exact match (FALSE) wrapped in IFERROR to gracefully handle typos.</t>
  </si>
  <si>
    <t xml:space="preserve">        The lookup range covers all 16 columns with dynamic column index numbers.</t>
  </si>
  <si>
    <t xml:space="preserve">    Q3: What does the data quality sheet check?</t>
  </si>
  <si>
    <t xml:space="preserve">    A3: Three checks: (1) Urban + Rural = Total Population, (2) Male + Female = Total, </t>
  </si>
  <si>
    <t xml:space="preserve">        (3) Population/Area ≈ Density. Each uses IF/AND/ABS to allow ±tolerance for rounding.</t>
  </si>
  <si>
    <t xml:space="preserve">    Q4: How would you improve this project?</t>
  </si>
  <si>
    <t xml:space="preserve">    A4: Add Census 1951–1991 data for historical trends, integrate Sex Ratio analysis,</t>
  </si>
  <si>
    <t xml:space="preserve">        add district-level data, use FORECAST.ETS for 2031 projections, and build Power BI version.</t>
  </si>
  <si>
    <t xml:space="preserve">    Q5: What's the most interesting insight from this data?</t>
  </si>
  <si>
    <t xml:space="preserve">    A5: India's urbanization (31%) is dramatically lower than China (65%) despite similar economic</t>
  </si>
  <si>
    <t xml:space="preserve">        trajectory — suggesting massive rural-to-urban migration potential in coming decades.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</si>
</sst>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7">
    <numFmt numFmtId="176" formatCode="_ * #,##0.00_ ;_ * \-#,##0.00_ ;_ * &quot;-&quot;??_ ;_ @_ "/>
    <numFmt numFmtId="177" formatCode="_ &quot;₹&quot;\ * #,##0.00_ ;_ &quot;₹&quot;\ * \-#,##0.00_ ;_ &quot;₹&quot;\ * &quot;-&quot;??_ ;_ @_ "/>
    <numFmt numFmtId="178" formatCode="_ * #,##0_ ;_ * \-#,##0_ ;_ * &quot;-&quot;_ ;_ @_ "/>
    <numFmt numFmtId="179" formatCode="_ &quot;₹&quot;\ * #,##0_ ;_ &quot;₹&quot;\ * \-#,##0_ ;_ &quot;₹&quot;\ * &quot;-&quot;_ ;_ @_ "/>
    <numFmt numFmtId="180" formatCode="0.0"/>
    <numFmt numFmtId="181" formatCode="0.000"/>
    <numFmt numFmtId="182" formatCode="0.0%"/>
  </numFmts>
  <fonts count="39">
    <font>
      <sz val="11"/>
      <color theme="1"/>
      <name val="Calibri"/>
      <charset val="1"/>
    </font>
    <font>
      <b/>
      <sz val="14"/>
      <color rgb="FFFFFFFF"/>
      <name val="Calibri"/>
      <charset val="1"/>
    </font>
    <font>
      <b/>
      <sz val="11"/>
      <color rgb="FFFFFFFF"/>
      <name val="Calibri"/>
      <charset val="1"/>
    </font>
    <font>
      <sz val="9"/>
      <color rgb="FF1A1A1A"/>
      <name val="Calibri"/>
      <charset val="1"/>
    </font>
    <font>
      <b/>
      <sz val="17"/>
      <color rgb="FFFFFFFF"/>
      <name val="Calibri"/>
      <charset val="1"/>
    </font>
    <font>
      <i/>
      <sz val="9"/>
      <color rgb="FFFFFFFF"/>
      <name val="Calibri"/>
      <charset val="1"/>
    </font>
    <font>
      <b/>
      <sz val="9"/>
      <color rgb="FFFFFFFF"/>
      <name val="Calibri"/>
      <charset val="1"/>
    </font>
    <font>
      <b/>
      <sz val="18"/>
      <color rgb="FFFFFFFF"/>
      <name val="Calibri"/>
      <charset val="1"/>
    </font>
    <font>
      <i/>
      <sz val="8"/>
      <color rgb="FFEEEEEE"/>
      <name val="Calibri"/>
      <charset val="1"/>
    </font>
    <font>
      <b/>
      <sz val="10"/>
      <color rgb="FFFFFFFF"/>
      <name val="Calibri"/>
      <charset val="1"/>
    </font>
    <font>
      <b/>
      <sz val="9"/>
      <name val="Calibri"/>
      <charset val="1"/>
    </font>
    <font>
      <b/>
      <sz val="12"/>
      <color rgb="FF000080"/>
      <name val="Calibri"/>
      <charset val="1"/>
    </font>
    <font>
      <b/>
      <sz val="10"/>
      <color rgb="FF000080"/>
      <name val="Calibri"/>
      <charset val="1"/>
    </font>
    <font>
      <b/>
      <sz val="9"/>
      <color rgb="FF000080"/>
      <name val="Calibri"/>
      <charset val="1"/>
    </font>
    <font>
      <sz val="9"/>
      <name val="Calibri"/>
      <charset val="1"/>
    </font>
    <font>
      <b/>
      <sz val="13"/>
      <color rgb="FFFFFFFF"/>
      <name val="Calibri"/>
      <charset val="1"/>
    </font>
    <font>
      <b/>
      <sz val="15"/>
      <color rgb="FFFFFFFF"/>
      <name val="Calibri"/>
      <charset val="1"/>
    </font>
    <font>
      <i/>
      <sz val="8"/>
      <color rgb="FF888888"/>
      <name val="Calibri"/>
      <charset val="1"/>
    </font>
    <font>
      <sz val="10"/>
      <name val="Arial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theme="1"/>
      <name val="Calibri"/>
      <charset val="134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43">
    <fill>
      <patternFill patternType="none"/>
    </fill>
    <fill>
      <patternFill patternType="gray125"/>
    </fill>
    <fill>
      <patternFill patternType="solid">
        <fgColor rgb="FF000080"/>
        <bgColor rgb="FF000080"/>
      </patternFill>
    </fill>
    <fill>
      <patternFill patternType="solid">
        <fgColor rgb="FFFF9933"/>
        <bgColor rgb="FFF9A825"/>
      </patternFill>
    </fill>
    <fill>
      <patternFill patternType="solid">
        <fgColor rgb="FFFFF3E0"/>
        <bgColor rgb="FFEEEEEE"/>
      </patternFill>
    </fill>
    <fill>
      <patternFill patternType="solid">
        <fgColor rgb="FFFFFFFF"/>
        <bgColor rgb="FFFFF3E0"/>
      </patternFill>
    </fill>
    <fill>
      <patternFill patternType="solid">
        <fgColor rgb="FF455A64"/>
        <bgColor rgb="FF1E6B1E"/>
      </patternFill>
    </fill>
    <fill>
      <patternFill patternType="solid">
        <fgColor rgb="FF00796B"/>
        <bgColor rgb="FF1E6B1E"/>
      </patternFill>
    </fill>
    <fill>
      <patternFill patternType="solid">
        <fgColor rgb="FF138808"/>
        <bgColor rgb="FF1E6B1E"/>
      </patternFill>
    </fill>
    <fill>
      <patternFill patternType="solid">
        <fgColor rgb="FF6A1B9A"/>
        <bgColor rgb="FF800080"/>
      </patternFill>
    </fill>
    <fill>
      <patternFill patternType="solid">
        <fgColor rgb="FFF9A825"/>
        <bgColor rgb="FFFF9933"/>
      </patternFill>
    </fill>
    <fill>
      <patternFill patternType="solid">
        <fgColor rgb="FFE8F5E9"/>
        <bgColor rgb="FFEEEEEE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5">
    <border>
      <left/>
      <right/>
      <top/>
      <bottom/>
      <diagonal/>
    </border>
    <border>
      <left style="medium">
        <color rgb="FF000080"/>
      </left>
      <right style="medium">
        <color rgb="FF000080"/>
      </right>
      <top style="medium">
        <color rgb="FF000080"/>
      </top>
      <bottom style="medium">
        <color rgb="FF000080"/>
      </bottom>
      <diagonal/>
    </border>
    <border>
      <left style="medium">
        <color rgb="FF000080"/>
      </left>
      <right/>
      <top style="medium">
        <color rgb="FF000080"/>
      </top>
      <bottom style="medium">
        <color rgb="FF000080"/>
      </bottom>
      <diagonal/>
    </border>
    <border>
      <left style="thin">
        <color rgb="FFBBBBBB"/>
      </left>
      <right/>
      <top style="thin">
        <color rgb="FFBBBBBB"/>
      </top>
      <bottom style="thin">
        <color rgb="FFBBBBBB"/>
      </bottom>
      <diagonal/>
    </border>
    <border>
      <left style="thin">
        <color rgb="FFDDDDDD"/>
      </left>
      <right style="thin">
        <color rgb="FFDDDDDD"/>
      </right>
      <top style="thin">
        <color rgb="FFDDDDDD"/>
      </top>
      <bottom style="thin">
        <color rgb="FFDDDDDD"/>
      </bottom>
      <diagonal/>
    </border>
    <border>
      <left style="thin">
        <color rgb="FFBBBBBB"/>
      </left>
      <right style="thin">
        <color rgb="FFBBBBBB"/>
      </right>
      <top style="thin">
        <color rgb="FFBBBBBB"/>
      </top>
      <bottom style="thin">
        <color rgb="FFBBBBBB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18" fillId="0" borderId="0" applyBorder="0" applyAlignment="0" applyProtection="0"/>
    <xf numFmtId="177" fontId="18" fillId="0" borderId="0" applyBorder="0" applyAlignment="0" applyProtection="0"/>
    <xf numFmtId="9" fontId="18" fillId="0" borderId="0" applyBorder="0" applyAlignment="0" applyProtection="0"/>
    <xf numFmtId="178" fontId="18" fillId="0" borderId="0" applyBorder="0" applyAlignment="0" applyProtection="0"/>
    <xf numFmtId="179" fontId="18" fillId="0" borderId="0" applyBorder="0" applyAlignment="0" applyProtection="0"/>
    <xf numFmtId="0" fontId="19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1" fillId="12" borderId="7" applyNumberFormat="0" applyFont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5" fillId="0" borderId="8" applyNumberFormat="0" applyFill="0" applyAlignment="0" applyProtection="0">
      <alignment vertical="center"/>
    </xf>
    <xf numFmtId="0" fontId="26" fillId="0" borderId="8" applyNumberFormat="0" applyFill="0" applyAlignment="0" applyProtection="0">
      <alignment vertical="center"/>
    </xf>
    <xf numFmtId="0" fontId="27" fillId="0" borderId="9" applyNumberFormat="0" applyFill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8" fillId="13" borderId="10" applyNumberFormat="0" applyAlignment="0" applyProtection="0">
      <alignment vertical="center"/>
    </xf>
    <xf numFmtId="0" fontId="29" fillId="14" borderId="11" applyNumberFormat="0" applyAlignment="0" applyProtection="0">
      <alignment vertical="center"/>
    </xf>
    <xf numFmtId="0" fontId="30" fillId="14" borderId="10" applyNumberFormat="0" applyAlignment="0" applyProtection="0">
      <alignment vertical="center"/>
    </xf>
    <xf numFmtId="0" fontId="31" fillId="15" borderId="12" applyNumberFormat="0" applyAlignment="0" applyProtection="0">
      <alignment vertical="center"/>
    </xf>
    <xf numFmtId="0" fontId="32" fillId="0" borderId="13" applyNumberFormat="0" applyFill="0" applyAlignment="0" applyProtection="0">
      <alignment vertical="center"/>
    </xf>
    <xf numFmtId="0" fontId="33" fillId="0" borderId="14" applyNumberFormat="0" applyFill="0" applyAlignment="0" applyProtection="0">
      <alignment vertical="center"/>
    </xf>
    <xf numFmtId="0" fontId="34" fillId="16" borderId="0" applyNumberFormat="0" applyBorder="0" applyAlignment="0" applyProtection="0">
      <alignment vertical="center"/>
    </xf>
    <xf numFmtId="0" fontId="35" fillId="17" borderId="0" applyNumberFormat="0" applyBorder="0" applyAlignment="0" applyProtection="0">
      <alignment vertical="center"/>
    </xf>
    <xf numFmtId="0" fontId="36" fillId="18" borderId="0" applyNumberFormat="0" applyBorder="0" applyAlignment="0" applyProtection="0">
      <alignment vertical="center"/>
    </xf>
    <xf numFmtId="0" fontId="37" fillId="19" borderId="0" applyNumberFormat="0" applyBorder="0" applyAlignment="0" applyProtection="0">
      <alignment vertical="center"/>
    </xf>
    <xf numFmtId="0" fontId="38" fillId="20" borderId="0" applyNumberFormat="0" applyBorder="0" applyAlignment="0" applyProtection="0">
      <alignment vertical="center"/>
    </xf>
    <xf numFmtId="0" fontId="38" fillId="21" borderId="0" applyNumberFormat="0" applyBorder="0" applyAlignment="0" applyProtection="0">
      <alignment vertical="center"/>
    </xf>
    <xf numFmtId="0" fontId="37" fillId="22" borderId="0" applyNumberFormat="0" applyBorder="0" applyAlignment="0" applyProtection="0">
      <alignment vertical="center"/>
    </xf>
    <xf numFmtId="0" fontId="37" fillId="23" borderId="0" applyNumberFormat="0" applyBorder="0" applyAlignment="0" applyProtection="0">
      <alignment vertical="center"/>
    </xf>
    <xf numFmtId="0" fontId="38" fillId="24" borderId="0" applyNumberFormat="0" applyBorder="0" applyAlignment="0" applyProtection="0">
      <alignment vertical="center"/>
    </xf>
    <xf numFmtId="0" fontId="38" fillId="25" borderId="0" applyNumberFormat="0" applyBorder="0" applyAlignment="0" applyProtection="0">
      <alignment vertical="center"/>
    </xf>
    <xf numFmtId="0" fontId="37" fillId="26" borderId="0" applyNumberFormat="0" applyBorder="0" applyAlignment="0" applyProtection="0">
      <alignment vertical="center"/>
    </xf>
    <xf numFmtId="0" fontId="37" fillId="27" borderId="0" applyNumberFormat="0" applyBorder="0" applyAlignment="0" applyProtection="0">
      <alignment vertical="center"/>
    </xf>
    <xf numFmtId="0" fontId="38" fillId="28" borderId="0" applyNumberFormat="0" applyBorder="0" applyAlignment="0" applyProtection="0">
      <alignment vertical="center"/>
    </xf>
    <xf numFmtId="0" fontId="38" fillId="29" borderId="0" applyNumberFormat="0" applyBorder="0" applyAlignment="0" applyProtection="0">
      <alignment vertical="center"/>
    </xf>
    <xf numFmtId="0" fontId="37" fillId="30" borderId="0" applyNumberFormat="0" applyBorder="0" applyAlignment="0" applyProtection="0">
      <alignment vertical="center"/>
    </xf>
    <xf numFmtId="0" fontId="37" fillId="31" borderId="0" applyNumberFormat="0" applyBorder="0" applyAlignment="0" applyProtection="0">
      <alignment vertical="center"/>
    </xf>
    <xf numFmtId="0" fontId="38" fillId="32" borderId="0" applyNumberFormat="0" applyBorder="0" applyAlignment="0" applyProtection="0">
      <alignment vertical="center"/>
    </xf>
    <xf numFmtId="0" fontId="38" fillId="33" borderId="0" applyNumberFormat="0" applyBorder="0" applyAlignment="0" applyProtection="0">
      <alignment vertical="center"/>
    </xf>
    <xf numFmtId="0" fontId="37" fillId="34" borderId="0" applyNumberFormat="0" applyBorder="0" applyAlignment="0" applyProtection="0">
      <alignment vertical="center"/>
    </xf>
    <xf numFmtId="0" fontId="37" fillId="35" borderId="0" applyNumberFormat="0" applyBorder="0" applyAlignment="0" applyProtection="0">
      <alignment vertical="center"/>
    </xf>
    <xf numFmtId="0" fontId="38" fillId="36" borderId="0" applyNumberFormat="0" applyBorder="0" applyAlignment="0" applyProtection="0">
      <alignment vertical="center"/>
    </xf>
    <xf numFmtId="0" fontId="38" fillId="37" borderId="0" applyNumberFormat="0" applyBorder="0" applyAlignment="0" applyProtection="0">
      <alignment vertical="center"/>
    </xf>
    <xf numFmtId="0" fontId="37" fillId="38" borderId="0" applyNumberFormat="0" applyBorder="0" applyAlignment="0" applyProtection="0">
      <alignment vertical="center"/>
    </xf>
    <xf numFmtId="0" fontId="37" fillId="39" borderId="0" applyNumberFormat="0" applyBorder="0" applyAlignment="0" applyProtection="0">
      <alignment vertical="center"/>
    </xf>
    <xf numFmtId="0" fontId="38" fillId="40" borderId="0" applyNumberFormat="0" applyBorder="0" applyAlignment="0" applyProtection="0">
      <alignment vertical="center"/>
    </xf>
    <xf numFmtId="0" fontId="38" fillId="41" borderId="0" applyNumberFormat="0" applyBorder="0" applyAlignment="0" applyProtection="0">
      <alignment vertical="center"/>
    </xf>
    <xf numFmtId="0" fontId="37" fillId="42" borderId="0" applyNumberFormat="0" applyBorder="0" applyAlignment="0" applyProtection="0">
      <alignment vertical="center"/>
    </xf>
  </cellStyleXfs>
  <cellXfs count="111">
    <xf numFmtId="0" fontId="0" fillId="0" borderId="0" xfId="0"/>
    <xf numFmtId="0" fontId="0" fillId="0" borderId="0" xfId="0" applyAlignment="1"/>
    <xf numFmtId="0" fontId="1" fillId="2" borderId="1" xfId="0" applyFont="1" applyFill="1" applyBorder="1" applyAlignment="1">
      <alignment horizontal="center" vertical="center"/>
    </xf>
    <xf numFmtId="0" fontId="2" fillId="3" borderId="0" xfId="0" applyFont="1" applyFill="1" applyAlignment="1">
      <alignment horizontal="left" vertical="center"/>
    </xf>
    <xf numFmtId="0" fontId="3" fillId="4" borderId="0" xfId="0" applyFont="1" applyFill="1" applyAlignment="1">
      <alignment horizontal="left" vertical="center"/>
    </xf>
    <xf numFmtId="0" fontId="3" fillId="5" borderId="0" xfId="0" applyFont="1" applyFill="1" applyAlignment="1">
      <alignment horizontal="left" vertical="center"/>
    </xf>
    <xf numFmtId="0" fontId="2" fillId="6" borderId="0" xfId="0" applyFont="1" applyFill="1" applyAlignment="1">
      <alignment horizontal="left" vertical="center"/>
    </xf>
    <xf numFmtId="0" fontId="2" fillId="7" borderId="0" xfId="0" applyFont="1" applyFill="1" applyAlignment="1">
      <alignment horizontal="left" vertical="center"/>
    </xf>
    <xf numFmtId="0" fontId="2" fillId="8" borderId="0" xfId="0" applyFont="1" applyFill="1" applyAlignment="1">
      <alignment horizontal="left" vertical="center"/>
    </xf>
    <xf numFmtId="0" fontId="2" fillId="2" borderId="0" xfId="0" applyFont="1" applyFill="1" applyAlignment="1">
      <alignment horizontal="left" vertical="center"/>
    </xf>
    <xf numFmtId="0" fontId="2" fillId="9" borderId="0" xfId="0" applyFont="1" applyFill="1" applyAlignment="1">
      <alignment horizontal="left" vertical="center"/>
    </xf>
    <xf numFmtId="0" fontId="4" fillId="3" borderId="2" xfId="0" applyFont="1" applyFill="1" applyBorder="1" applyAlignment="1">
      <alignment horizontal="center" vertical="center"/>
    </xf>
    <xf numFmtId="0" fontId="5" fillId="8" borderId="0" xfId="0" applyFont="1" applyFill="1" applyBorder="1" applyAlignment="1">
      <alignment horizontal="center" vertical="center"/>
    </xf>
    <xf numFmtId="0" fontId="6" fillId="3" borderId="0" xfId="0" applyFont="1" applyFill="1" applyBorder="1" applyAlignment="1">
      <alignment horizontal="center" vertical="center"/>
    </xf>
    <xf numFmtId="0" fontId="6" fillId="7" borderId="0" xfId="0" applyFont="1" applyFill="1" applyBorder="1" applyAlignment="1">
      <alignment horizontal="center" vertical="center"/>
    </xf>
    <xf numFmtId="0" fontId="6" fillId="8" borderId="0" xfId="0" applyFont="1" applyFill="1" applyBorder="1" applyAlignment="1">
      <alignment horizontal="center" vertical="center"/>
    </xf>
    <xf numFmtId="0" fontId="6" fillId="2" borderId="0" xfId="0" applyFont="1" applyFill="1" applyBorder="1" applyAlignment="1">
      <alignment horizontal="center" vertical="center"/>
    </xf>
    <xf numFmtId="0" fontId="6" fillId="9" borderId="0" xfId="0" applyFont="1" applyFill="1" applyBorder="1" applyAlignment="1">
      <alignment horizontal="center" vertical="center"/>
    </xf>
    <xf numFmtId="0" fontId="6" fillId="10" borderId="0" xfId="0" applyFont="1" applyFill="1" applyBorder="1" applyAlignment="1">
      <alignment horizontal="center" vertical="center"/>
    </xf>
    <xf numFmtId="0" fontId="7" fillId="3" borderId="0" xfId="0" applyFont="1" applyFill="1" applyBorder="1" applyAlignment="1">
      <alignment horizontal="center" vertical="center"/>
    </xf>
    <xf numFmtId="0" fontId="7" fillId="7" borderId="0" xfId="0" applyFont="1" applyFill="1" applyBorder="1" applyAlignment="1">
      <alignment horizontal="center" vertical="center"/>
    </xf>
    <xf numFmtId="0" fontId="7" fillId="8" borderId="0" xfId="0" applyFont="1" applyFill="1" applyBorder="1" applyAlignment="1">
      <alignment horizontal="center" vertical="center"/>
    </xf>
    <xf numFmtId="0" fontId="7" fillId="2" borderId="0" xfId="0" applyFont="1" applyFill="1" applyBorder="1" applyAlignment="1">
      <alignment horizontal="center" vertical="center"/>
    </xf>
    <xf numFmtId="0" fontId="7" fillId="9" borderId="0" xfId="0" applyFont="1" applyFill="1" applyBorder="1" applyAlignment="1">
      <alignment horizontal="center" vertical="center"/>
    </xf>
    <xf numFmtId="0" fontId="7" fillId="10" borderId="0" xfId="0" applyFont="1" applyFill="1" applyBorder="1" applyAlignment="1">
      <alignment horizontal="center" vertical="center"/>
    </xf>
    <xf numFmtId="0" fontId="8" fillId="3" borderId="0" xfId="0" applyFont="1" applyFill="1" applyBorder="1" applyAlignment="1">
      <alignment horizontal="center" vertical="center"/>
    </xf>
    <xf numFmtId="0" fontId="8" fillId="7" borderId="0" xfId="0" applyFont="1" applyFill="1" applyBorder="1" applyAlignment="1">
      <alignment horizontal="center" vertical="center"/>
    </xf>
    <xf numFmtId="0" fontId="8" fillId="8" borderId="0" xfId="0" applyFont="1" applyFill="1" applyBorder="1" applyAlignment="1">
      <alignment horizontal="center" vertical="center"/>
    </xf>
    <xf numFmtId="0" fontId="8" fillId="2" borderId="0" xfId="0" applyFont="1" applyFill="1" applyBorder="1" applyAlignment="1">
      <alignment horizontal="center" vertical="center"/>
    </xf>
    <xf numFmtId="0" fontId="8" fillId="9" borderId="0" xfId="0" applyFont="1" applyFill="1" applyBorder="1" applyAlignment="1">
      <alignment horizontal="center" vertical="center"/>
    </xf>
    <xf numFmtId="0" fontId="8" fillId="10" borderId="0" xfId="0" applyFont="1" applyFill="1" applyBorder="1" applyAlignment="1">
      <alignment horizontal="center" vertical="center"/>
    </xf>
    <xf numFmtId="0" fontId="9" fillId="7" borderId="0" xfId="0" applyFont="1" applyFill="1" applyBorder="1" applyAlignment="1">
      <alignment horizontal="left" vertical="center"/>
    </xf>
    <xf numFmtId="0" fontId="10" fillId="10" borderId="0" xfId="0" applyFont="1" applyFill="1" applyBorder="1" applyAlignment="1">
      <alignment horizontal="center" vertical="center"/>
    </xf>
    <xf numFmtId="0" fontId="11" fillId="4" borderId="2" xfId="0" applyFont="1" applyFill="1" applyBorder="1" applyAlignment="1">
      <alignment horizontal="center" vertical="center"/>
    </xf>
    <xf numFmtId="0" fontId="10" fillId="5" borderId="0" xfId="0" applyFont="1" applyFill="1" applyBorder="1" applyAlignment="1">
      <alignment horizontal="right" vertical="center"/>
    </xf>
    <xf numFmtId="0" fontId="12" fillId="5" borderId="3" xfId="0" applyFont="1" applyFill="1" applyBorder="1" applyAlignment="1">
      <alignment horizontal="center" vertical="center"/>
    </xf>
    <xf numFmtId="0" fontId="10" fillId="4" borderId="0" xfId="0" applyFont="1" applyFill="1" applyBorder="1" applyAlignment="1">
      <alignment horizontal="right" vertical="center"/>
    </xf>
    <xf numFmtId="3" fontId="12" fillId="5" borderId="3" xfId="0" applyNumberFormat="1" applyFont="1" applyFill="1" applyBorder="1" applyAlignment="1">
      <alignment horizontal="center" vertical="center"/>
    </xf>
    <xf numFmtId="180" fontId="12" fillId="5" borderId="3" xfId="0" applyNumberFormat="1" applyFont="1" applyFill="1" applyBorder="1" applyAlignment="1">
      <alignment horizontal="center" vertical="center"/>
    </xf>
    <xf numFmtId="181" fontId="12" fillId="5" borderId="3" xfId="0" applyNumberFormat="1" applyFont="1" applyFill="1" applyBorder="1" applyAlignment="1">
      <alignment horizontal="center" vertical="center"/>
    </xf>
    <xf numFmtId="182" fontId="12" fillId="5" borderId="3" xfId="0" applyNumberFormat="1" applyFont="1" applyFill="1" applyBorder="1" applyAlignment="1">
      <alignment horizontal="center" vertical="center"/>
    </xf>
    <xf numFmtId="0" fontId="6" fillId="6" borderId="0" xfId="0" applyFont="1" applyFill="1" applyAlignment="1">
      <alignment horizontal="center" vertical="center"/>
    </xf>
    <xf numFmtId="0" fontId="13" fillId="5" borderId="0" xfId="0" applyFont="1" applyFill="1" applyAlignment="1">
      <alignment horizontal="left" vertical="center"/>
    </xf>
    <xf numFmtId="3" fontId="14" fillId="5" borderId="4" xfId="0" applyNumberFormat="1" applyFont="1" applyFill="1" applyBorder="1" applyAlignment="1">
      <alignment horizontal="right" vertical="center"/>
    </xf>
    <xf numFmtId="182" fontId="14" fillId="5" borderId="4" xfId="0" applyNumberFormat="1" applyFont="1" applyFill="1" applyBorder="1" applyAlignment="1">
      <alignment horizontal="right" vertical="center"/>
    </xf>
    <xf numFmtId="180" fontId="14" fillId="5" borderId="4" xfId="0" applyNumberFormat="1" applyFont="1" applyFill="1" applyBorder="1" applyAlignment="1">
      <alignment horizontal="right" vertical="center"/>
    </xf>
    <xf numFmtId="0" fontId="13" fillId="4" borderId="0" xfId="0" applyFont="1" applyFill="1" applyAlignment="1">
      <alignment horizontal="left" vertical="center"/>
    </xf>
    <xf numFmtId="3" fontId="14" fillId="4" borderId="4" xfId="0" applyNumberFormat="1" applyFont="1" applyFill="1" applyBorder="1" applyAlignment="1">
      <alignment horizontal="right" vertical="center"/>
    </xf>
    <xf numFmtId="182" fontId="14" fillId="4" borderId="4" xfId="0" applyNumberFormat="1" applyFont="1" applyFill="1" applyBorder="1" applyAlignment="1">
      <alignment horizontal="right" vertical="center"/>
    </xf>
    <xf numFmtId="180" fontId="14" fillId="4" borderId="4" xfId="0" applyNumberFormat="1" applyFont="1" applyFill="1" applyBorder="1" applyAlignment="1">
      <alignment horizontal="right" vertical="center"/>
    </xf>
    <xf numFmtId="0" fontId="6" fillId="2" borderId="0" xfId="0" applyFont="1" applyFill="1" applyAlignment="1">
      <alignment horizontal="left" vertical="center"/>
    </xf>
    <xf numFmtId="3" fontId="6" fillId="2" borderId="0" xfId="0" applyNumberFormat="1" applyFont="1" applyFill="1" applyAlignment="1">
      <alignment horizontal="right" vertical="center"/>
    </xf>
    <xf numFmtId="182" fontId="6" fillId="2" borderId="0" xfId="0" applyNumberFormat="1" applyFont="1" applyFill="1" applyAlignment="1">
      <alignment horizontal="right" vertical="center"/>
    </xf>
    <xf numFmtId="180" fontId="6" fillId="2" borderId="0" xfId="0" applyNumberFormat="1" applyFont="1" applyFill="1" applyAlignment="1">
      <alignment horizontal="right" vertical="center"/>
    </xf>
    <xf numFmtId="0" fontId="10" fillId="5" borderId="0" xfId="0" applyFont="1" applyFill="1" applyAlignment="1">
      <alignment horizontal="left" vertical="center"/>
    </xf>
    <xf numFmtId="180" fontId="14" fillId="5" borderId="4" xfId="0" applyNumberFormat="1" applyFont="1" applyFill="1" applyBorder="1" applyAlignment="1">
      <alignment horizontal="center" vertical="center"/>
    </xf>
    <xf numFmtId="181" fontId="14" fillId="5" borderId="4" xfId="0" applyNumberFormat="1" applyFont="1" applyFill="1" applyBorder="1" applyAlignment="1">
      <alignment horizontal="center" vertical="center"/>
    </xf>
    <xf numFmtId="0" fontId="14" fillId="5" borderId="4" xfId="0" applyFont="1" applyFill="1" applyBorder="1" applyAlignment="1">
      <alignment horizontal="center" vertical="center"/>
    </xf>
    <xf numFmtId="0" fontId="10" fillId="4" borderId="0" xfId="0" applyFont="1" applyFill="1" applyAlignment="1">
      <alignment horizontal="left" vertical="center"/>
    </xf>
    <xf numFmtId="180" fontId="14" fillId="4" borderId="4" xfId="0" applyNumberFormat="1" applyFont="1" applyFill="1" applyBorder="1" applyAlignment="1">
      <alignment horizontal="center" vertical="center"/>
    </xf>
    <xf numFmtId="181" fontId="14" fillId="4" borderId="4" xfId="0" applyNumberFormat="1" applyFont="1" applyFill="1" applyBorder="1" applyAlignment="1">
      <alignment horizontal="center" vertical="center"/>
    </xf>
    <xf numFmtId="0" fontId="14" fillId="4" borderId="4" xfId="0" applyFont="1" applyFill="1" applyBorder="1" applyAlignment="1">
      <alignment horizontal="center" vertical="center"/>
    </xf>
    <xf numFmtId="0" fontId="9" fillId="2" borderId="0" xfId="0" applyFont="1" applyFill="1" applyBorder="1" applyAlignment="1">
      <alignment horizontal="left" vertical="center"/>
    </xf>
    <xf numFmtId="0" fontId="14" fillId="4" borderId="0" xfId="0" applyFont="1" applyFill="1" applyBorder="1" applyAlignment="1">
      <alignment horizontal="left" vertical="center"/>
    </xf>
    <xf numFmtId="0" fontId="14" fillId="11" borderId="0" xfId="0" applyFont="1" applyFill="1" applyBorder="1" applyAlignment="1">
      <alignment horizontal="left" vertical="center"/>
    </xf>
    <xf numFmtId="0" fontId="15" fillId="2" borderId="2" xfId="0" applyFont="1" applyFill="1" applyBorder="1" applyAlignment="1">
      <alignment horizontal="center" vertical="center"/>
    </xf>
    <xf numFmtId="0" fontId="6" fillId="7" borderId="0" xfId="0" applyFont="1" applyFill="1" applyBorder="1" applyAlignment="1">
      <alignment horizontal="left" vertical="center"/>
    </xf>
    <xf numFmtId="0" fontId="6" fillId="2" borderId="0" xfId="0" applyFont="1" applyFill="1" applyAlignment="1"/>
    <xf numFmtId="0" fontId="6" fillId="3" borderId="0" xfId="0" applyFont="1" applyFill="1" applyAlignment="1"/>
    <xf numFmtId="0" fontId="6" fillId="8" borderId="0" xfId="0" applyFont="1" applyFill="1" applyAlignment="1"/>
    <xf numFmtId="180" fontId="3" fillId="5" borderId="5" xfId="0" applyNumberFormat="1" applyFont="1" applyFill="1" applyBorder="1" applyAlignment="1">
      <alignment horizontal="right" vertical="center"/>
    </xf>
    <xf numFmtId="0" fontId="3" fillId="5" borderId="0" xfId="0" applyFont="1" applyFill="1" applyAlignment="1"/>
    <xf numFmtId="180" fontId="3" fillId="4" borderId="5" xfId="0" applyNumberFormat="1" applyFont="1" applyFill="1" applyBorder="1" applyAlignment="1">
      <alignment horizontal="right" vertical="center"/>
    </xf>
    <xf numFmtId="0" fontId="3" fillId="4" borderId="0" xfId="0" applyFont="1" applyFill="1" applyAlignment="1"/>
    <xf numFmtId="0" fontId="6" fillId="7" borderId="0" xfId="0" applyFont="1" applyFill="1" applyAlignment="1"/>
    <xf numFmtId="0" fontId="6" fillId="6" borderId="6" xfId="0" applyFont="1" applyFill="1" applyBorder="1" applyAlignment="1">
      <alignment horizontal="center" vertical="center"/>
    </xf>
    <xf numFmtId="182" fontId="14" fillId="5" borderId="0" xfId="0" applyNumberFormat="1" applyFont="1" applyFill="1" applyAlignment="1">
      <alignment horizontal="right" vertical="center"/>
    </xf>
    <xf numFmtId="182" fontId="14" fillId="4" borderId="0" xfId="0" applyNumberFormat="1" applyFont="1" applyFill="1" applyAlignment="1">
      <alignment horizontal="right" vertical="center"/>
    </xf>
    <xf numFmtId="0" fontId="9" fillId="2" borderId="0" xfId="0" applyFont="1" applyFill="1" applyAlignment="1">
      <alignment horizontal="left" vertical="center"/>
    </xf>
    <xf numFmtId="3" fontId="9" fillId="2" borderId="0" xfId="0" applyNumberFormat="1" applyFont="1" applyFill="1" applyAlignment="1">
      <alignment horizontal="right" vertical="center"/>
    </xf>
    <xf numFmtId="182" fontId="9" fillId="2" borderId="0" xfId="0" applyNumberFormat="1" applyFont="1" applyFill="1" applyAlignment="1">
      <alignment horizontal="right" vertical="center"/>
    </xf>
    <xf numFmtId="0" fontId="10" fillId="5" borderId="0" xfId="0" applyFont="1" applyFill="1" applyAlignment="1"/>
    <xf numFmtId="0" fontId="10" fillId="4" borderId="0" xfId="0" applyFont="1" applyFill="1" applyAlignment="1"/>
    <xf numFmtId="181" fontId="14" fillId="4" borderId="4" xfId="0" applyNumberFormat="1" applyFont="1" applyFill="1" applyBorder="1" applyAlignment="1">
      <alignment horizontal="right" vertical="center"/>
    </xf>
    <xf numFmtId="181" fontId="14" fillId="5" borderId="4" xfId="0" applyNumberFormat="1" applyFont="1" applyFill="1" applyBorder="1" applyAlignment="1">
      <alignment horizontal="right" vertical="center"/>
    </xf>
    <xf numFmtId="0" fontId="6" fillId="2" borderId="6" xfId="0" applyFont="1" applyFill="1" applyBorder="1" applyAlignment="1">
      <alignment horizontal="center" vertical="center"/>
    </xf>
    <xf numFmtId="3" fontId="14" fillId="5" borderId="4" xfId="0" applyNumberFormat="1" applyFont="1" applyFill="1" applyBorder="1" applyAlignment="1">
      <alignment horizontal="center" vertical="center"/>
    </xf>
    <xf numFmtId="182" fontId="14" fillId="5" borderId="4" xfId="0" applyNumberFormat="1" applyFont="1" applyFill="1" applyBorder="1" applyAlignment="1">
      <alignment horizontal="center" vertical="center"/>
    </xf>
    <xf numFmtId="3" fontId="14" fillId="4" borderId="4" xfId="0" applyNumberFormat="1" applyFont="1" applyFill="1" applyBorder="1" applyAlignment="1">
      <alignment horizontal="center" vertical="center"/>
    </xf>
    <xf numFmtId="182" fontId="14" fillId="4" borderId="4" xfId="0" applyNumberFormat="1" applyFont="1" applyFill="1" applyBorder="1" applyAlignment="1">
      <alignment horizontal="center" vertical="center"/>
    </xf>
    <xf numFmtId="0" fontId="6" fillId="2" borderId="0" xfId="0" applyFont="1" applyFill="1" applyBorder="1" applyAlignment="1">
      <alignment horizontal="left" vertical="center"/>
    </xf>
    <xf numFmtId="0" fontId="9" fillId="2" borderId="0" xfId="0" applyFont="1" applyFill="1" applyAlignment="1">
      <alignment horizontal="center" vertical="center"/>
    </xf>
    <xf numFmtId="3" fontId="9" fillId="2" borderId="0" xfId="0" applyNumberFormat="1" applyFont="1" applyFill="1" applyAlignment="1">
      <alignment horizontal="center" vertical="center"/>
    </xf>
    <xf numFmtId="182" fontId="9" fillId="2" borderId="0" xfId="0" applyNumberFormat="1" applyFont="1" applyFill="1" applyAlignment="1">
      <alignment horizontal="center" vertical="center"/>
    </xf>
    <xf numFmtId="180" fontId="9" fillId="2" borderId="0" xfId="0" applyNumberFormat="1" applyFont="1" applyFill="1" applyAlignment="1">
      <alignment horizontal="center" vertical="center"/>
    </xf>
    <xf numFmtId="0" fontId="14" fillId="4" borderId="4" xfId="0" applyFont="1" applyFill="1" applyBorder="1" applyAlignment="1">
      <alignment horizontal="left" vertical="center"/>
    </xf>
    <xf numFmtId="0" fontId="14" fillId="5" borderId="4" xfId="0" applyFont="1" applyFill="1" applyBorder="1" applyAlignment="1">
      <alignment horizontal="left" vertical="center"/>
    </xf>
    <xf numFmtId="0" fontId="16" fillId="3" borderId="2" xfId="0" applyFont="1" applyFill="1" applyBorder="1" applyAlignment="1">
      <alignment horizontal="center" vertical="center"/>
    </xf>
    <xf numFmtId="0" fontId="13" fillId="4" borderId="4" xfId="0" applyFont="1" applyFill="1" applyBorder="1" applyAlignment="1">
      <alignment horizontal="left" vertical="center"/>
    </xf>
    <xf numFmtId="0" fontId="3" fillId="4" borderId="4" xfId="0" applyFont="1" applyFill="1" applyBorder="1" applyAlignment="1">
      <alignment horizontal="left" vertical="center"/>
    </xf>
    <xf numFmtId="3" fontId="3" fillId="4" borderId="4" xfId="0" applyNumberFormat="1" applyFont="1" applyFill="1" applyBorder="1" applyAlignment="1">
      <alignment horizontal="right" vertical="center"/>
    </xf>
    <xf numFmtId="180" fontId="3" fillId="4" borderId="4" xfId="0" applyNumberFormat="1" applyFont="1" applyFill="1" applyBorder="1" applyAlignment="1">
      <alignment horizontal="right" vertical="center"/>
    </xf>
    <xf numFmtId="0" fontId="13" fillId="5" borderId="4" xfId="0" applyFont="1" applyFill="1" applyBorder="1" applyAlignment="1">
      <alignment horizontal="left" vertical="center"/>
    </xf>
    <xf numFmtId="0" fontId="3" fillId="5" borderId="4" xfId="0" applyFont="1" applyFill="1" applyBorder="1" applyAlignment="1">
      <alignment horizontal="left" vertical="center"/>
    </xf>
    <xf numFmtId="3" fontId="3" fillId="5" borderId="4" xfId="0" applyNumberFormat="1" applyFont="1" applyFill="1" applyBorder="1" applyAlignment="1">
      <alignment horizontal="right" vertical="center"/>
    </xf>
    <xf numFmtId="180" fontId="3" fillId="5" borderId="4" xfId="0" applyNumberFormat="1" applyFont="1" applyFill="1" applyBorder="1" applyAlignment="1">
      <alignment horizontal="right" vertical="center"/>
    </xf>
    <xf numFmtId="0" fontId="13" fillId="11" borderId="4" xfId="0" applyFont="1" applyFill="1" applyBorder="1" applyAlignment="1">
      <alignment horizontal="left" vertical="center"/>
    </xf>
    <xf numFmtId="0" fontId="3" fillId="11" borderId="4" xfId="0" applyFont="1" applyFill="1" applyBorder="1" applyAlignment="1">
      <alignment horizontal="left" vertical="center"/>
    </xf>
    <xf numFmtId="3" fontId="3" fillId="11" borderId="4" xfId="0" applyNumberFormat="1" applyFont="1" applyFill="1" applyBorder="1" applyAlignment="1">
      <alignment horizontal="right" vertical="center"/>
    </xf>
    <xf numFmtId="180" fontId="3" fillId="11" borderId="4" xfId="0" applyNumberFormat="1" applyFont="1" applyFill="1" applyBorder="1" applyAlignment="1">
      <alignment horizontal="right" vertical="center"/>
    </xf>
    <xf numFmtId="0" fontId="17" fillId="0" borderId="0" xfId="0" applyFont="1" applyBorder="1" applyAlignmen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9">
    <dxf>
      <font>
        <color rgb="FF1E6B1E"/>
      </font>
      <fill>
        <patternFill patternType="solid">
          <bgColor rgb="FFC6EFCE"/>
        </patternFill>
      </fill>
    </dxf>
    <dxf>
      <font>
        <color rgb="FF7D5100"/>
      </font>
      <fill>
        <patternFill patternType="solid">
          <bgColor rgb="FFFFEB9C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8"/>
      <tableStyleElement type="headerRow" dxfId="7"/>
      <tableStyleElement type="totalRow" dxfId="6"/>
      <tableStyleElement type="firstColumn" dxfId="5"/>
      <tableStyleElement type="lastColumn" dxfId="4"/>
      <tableStyleElement type="firstRowStripe" dxfId="3"/>
      <tableStyleElement type="firstColumnStripe" dxfId="2"/>
    </tableStyle>
    <tableStyle name="PivotStylePreset2_Accent1" table="0" count="10" xr9:uid="{267968C8-6FFD-4C36-ACC1-9EA1FD1885CA}">
      <tableStyleElement type="headerRow" dxfId="18"/>
      <tableStyleElement type="totalRow" dxfId="17"/>
      <tableStyleElement type="firstRowStripe" dxfId="16"/>
      <tableStyleElement type="firstColumnStripe" dxfId="15"/>
      <tableStyleElement type="firstSubtotalRow" dxfId="14"/>
      <tableStyleElement type="secondSubtotalRow" dxfId="13"/>
      <tableStyleElement type="firstRowSubheading" dxfId="12"/>
      <tableStyleElement type="secondRowSubheading" dxfId="11"/>
      <tableStyleElement type="pageFieldLabels" dxfId="10"/>
      <tableStyleElement type="pageFieldValues" dxfId="9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138808"/>
      <rgbColor rgb="00000080"/>
      <rgbColor rgb="00808000"/>
      <rgbColor rgb="006A1B9A"/>
      <rgbColor rgb="0000796B"/>
      <rgbColor rgb="00BBBBBB"/>
      <rgbColor rgb="00878787"/>
      <rgbColor rgb="009999FF"/>
      <rgbColor rgb="00993366"/>
      <rgbColor rgb="00FFF3E0"/>
      <rgbColor rgb="00E8F5E9"/>
      <rgbColor rgb="00660066"/>
      <rgbColor rgb="00FF8080"/>
      <rgbColor rgb="000066CC"/>
      <rgbColor rgb="00D9D9D9"/>
      <rgbColor rgb="00000080"/>
      <rgbColor rgb="00FF00FF"/>
      <rgbColor rgb="00FFFF00"/>
      <rgbColor rgb="0000FFFF"/>
      <rgbColor rgb="00800080"/>
      <rgbColor rgb="00800000"/>
      <rgbColor rgb="001E6B1E"/>
      <rgbColor rgb="000000FF"/>
      <rgbColor rgb="0000CCFF"/>
      <rgbColor rgb="00EEEEEE"/>
      <rgbColor rgb="00C6EFCE"/>
      <rgbColor rgb="00FFEB9C"/>
      <rgbColor rgb="0099CCFF"/>
      <rgbColor rgb="00FF99CC"/>
      <rgbColor rgb="00CC99FF"/>
      <rgbColor rgb="00DDDDDD"/>
      <rgbColor rgb="004F81BD"/>
      <rgbColor rgb="0033CCCC"/>
      <rgbColor rgb="0099CC00"/>
      <rgbColor rgb="00F9A825"/>
      <rgbColor rgb="00FF9933"/>
      <rgbColor rgb="00E65100"/>
      <rgbColor rgb="00455A64"/>
      <rgbColor rgb="00888888"/>
      <rgbColor rgb="00003366"/>
      <rgbColor rgb="00339966"/>
      <rgbColor rgb="00003300"/>
      <rgbColor rgb="00333300"/>
      <rgbColor rgb="007D5100"/>
      <rgbColor rgb="00993366"/>
      <rgbColor rgb="00333399"/>
      <rgbColor rgb="001A1A1A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haredStrings" Target="sharedStrings.xml"/><Relationship Id="rId8" Type="http://schemas.openxmlformats.org/officeDocument/2006/relationships/theme" Target="theme/theme1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0" Type="http://schemas.openxmlformats.org/officeDocument/2006/relationships/styles" Target="styles.xml"/><Relationship Id="rId1" Type="http://schemas.openxmlformats.org/officeDocument/2006/relationships/worksheet" Target="worksheets/sheet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>
              <a:defRPr lang="en-US" sz="1800" b="1" i="0" u="none" strike="noStrike" kern="1200" spc="-1" baseline="0">
                <a:solidFill>
                  <a:srgbClr val="000000"/>
                </a:solidFill>
                <a:latin typeface="Calibri" panose="020F0502020204030204"/>
                <a:ea typeface="+mn-ea"/>
                <a:cs typeface="+mn-cs"/>
              </a:defRPr>
            </a:pPr>
            <a:r>
              <a:rPr sz="1800" b="1" strike="noStrike" spc="-1">
                <a:solidFill>
                  <a:srgbClr val="000000"/>
                </a:solidFill>
                <a:latin typeface="Calibri" panose="020F0502020204030204"/>
              </a:rPr>
              <a:t>Top 10 States by Population (2021)</a:t>
            </a:r>
            <a:endParaRPr sz="1800" b="1" strike="noStrike" spc="-1">
              <a:solidFill>
                <a:srgbClr val="000000"/>
              </a:solidFill>
              <a:latin typeface="Calibri" panose="020F0502020204030204"/>
            </a:endParaRPr>
          </a:p>
        </c:rich>
      </c:tx>
      <c:layout/>
      <c:overlay val="0"/>
      <c:spPr>
        <a:noFill/>
        <a:ln w="0">
          <a:noFill/>
        </a:ln>
      </c:sp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Charts!$B$4</c:f>
              <c:strCache>
                <c:ptCount val="1"/>
                <c:pt idx="0">
                  <c:v>Pop 2021 (M)</c:v>
                </c:pt>
              </c:strCache>
            </c:strRef>
          </c:tx>
          <c:spPr>
            <a:solidFill>
              <a:srgbClr val="FF9933"/>
            </a:solidFill>
            <a:ln w="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n-US" sz="1000" b="0" i="0" u="none" strike="noStrike" kern="1200" spc="-1" baseline="0">
                    <a:solidFill>
                      <a:srgbClr val="000000"/>
                    </a:solidFill>
                    <a:latin typeface="Arial" panose="020B0604020202020204"/>
                    <a:ea typeface="+mn-ea"/>
                    <a:cs typeface="+mn-cs"/>
                  </a:defRPr>
                </a:pPr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/>
              </c:ext>
            </c:extLst>
          </c:dLbls>
          <c:cat>
            <c:strRef>
              <c:f>Charts!$A$5:$A$14</c:f>
              <c:strCache>
                <c:ptCount val="10"/>
                <c:pt idx="0">
                  <c:v>Uttar Pradesh</c:v>
                </c:pt>
                <c:pt idx="1">
                  <c:v>Maharashtra</c:v>
                </c:pt>
                <c:pt idx="2">
                  <c:v>Bihar</c:v>
                </c:pt>
                <c:pt idx="3">
                  <c:v>West Bengal</c:v>
                </c:pt>
                <c:pt idx="4">
                  <c:v>Madhya Pradesh</c:v>
                </c:pt>
                <c:pt idx="5">
                  <c:v>Rajasthan</c:v>
                </c:pt>
                <c:pt idx="6">
                  <c:v>Tamil Nadu</c:v>
                </c:pt>
                <c:pt idx="7">
                  <c:v>Karnataka</c:v>
                </c:pt>
                <c:pt idx="8">
                  <c:v>Gujarat</c:v>
                </c:pt>
                <c:pt idx="9">
                  <c:v>Andhra Pradesh</c:v>
                </c:pt>
              </c:strCache>
            </c:strRef>
          </c:cat>
          <c:val>
            <c:numRef>
              <c:f>Charts!$B$5:$B$14</c:f>
              <c:numCache>
                <c:formatCode>0.0</c:formatCode>
                <c:ptCount val="10"/>
                <c:pt idx="0">
                  <c:v>235</c:v>
                </c:pt>
                <c:pt idx="1">
                  <c:v>126</c:v>
                </c:pt>
                <c:pt idx="2">
                  <c:v>121</c:v>
                </c:pt>
                <c:pt idx="3">
                  <c:v>100</c:v>
                </c:pt>
                <c:pt idx="4">
                  <c:v>84</c:v>
                </c:pt>
                <c:pt idx="5">
                  <c:v>80</c:v>
                </c:pt>
                <c:pt idx="6">
                  <c:v>80</c:v>
                </c:pt>
                <c:pt idx="7">
                  <c:v>68</c:v>
                </c:pt>
                <c:pt idx="8">
                  <c:v>67</c:v>
                </c:pt>
                <c:pt idx="9">
                  <c:v>52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1"/>
        </c:dLbls>
        <c:gapWidth val="150"/>
        <c:overlap val="0"/>
        <c:axId val="81313094"/>
        <c:axId val="3598675"/>
      </c:barChart>
      <c:catAx>
        <c:axId val="81313094"/>
        <c:scaling>
          <c:orientation val="minMax"/>
        </c:scaling>
        <c:delete val="0"/>
        <c:axPos val="l"/>
        <c:title>
          <c:tx>
            <c:rich>
              <a:bodyPr rot="-5400000" spcFirstLastPara="0" vertOverflow="ellipsis" vert="horz" wrap="square" anchor="ctr" anchorCtr="1"/>
              <a:lstStyle/>
              <a:p>
                <a:pPr>
                  <a:defRPr lang="en-US" sz="1000" b="1" i="0" u="none" strike="noStrike" kern="1200" spc="-1" baseline="0">
                    <a:solidFill>
                      <a:srgbClr val="000000"/>
                    </a:solidFill>
                    <a:latin typeface="Calibri" panose="020F0502020204030204"/>
                    <a:ea typeface="+mn-ea"/>
                    <a:cs typeface="+mn-cs"/>
                  </a:defRPr>
                </a:pPr>
                <a:r>
                  <a:rPr sz="1000" b="1" strike="noStrike" spc="-1">
                    <a:solidFill>
                      <a:srgbClr val="000000"/>
                    </a:solidFill>
                    <a:latin typeface="Calibri" panose="020F0502020204030204"/>
                  </a:rPr>
                  <a:t>State</a:t>
                </a:r>
                <a:endParaRPr sz="1000" b="1" strike="noStrike" spc="-1">
                  <a:solidFill>
                    <a:srgbClr val="000000"/>
                  </a:solidFill>
                  <a:latin typeface="Calibri" panose="020F0502020204030204"/>
                </a:endParaRPr>
              </a:p>
            </c:rich>
          </c:tx>
          <c:layout/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9360" cap="flat" cmpd="sng" algn="ctr">
            <a:solidFill>
              <a:srgbClr val="878787"/>
            </a:solidFill>
            <a:prstDash val="solid"/>
            <a:round/>
          </a:ln>
        </c:spPr>
        <c:txPr>
          <a:bodyPr rot="-60000000" spcFirstLastPara="0" vertOverflow="ellipsis" vert="horz" wrap="square" anchor="ctr" anchorCtr="1"/>
          <a:lstStyle/>
          <a:p>
            <a:pPr>
              <a:defRPr lang="en-US" sz="1000" b="0" i="0" u="none" strike="noStrike" kern="1200" spc="-1" baseline="0">
                <a:solidFill>
                  <a:srgbClr val="000000"/>
                </a:solidFill>
                <a:latin typeface="Calibri" panose="020F0502020204030204"/>
                <a:ea typeface="+mn-ea"/>
                <a:cs typeface="+mn-cs"/>
              </a:defRPr>
            </a:pPr>
          </a:p>
        </c:txPr>
        <c:crossAx val="3598675"/>
        <c:crosses val="autoZero"/>
        <c:auto val="1"/>
        <c:lblAlgn val="ctr"/>
        <c:lblOffset val="100"/>
        <c:noMultiLvlLbl val="0"/>
      </c:catAx>
      <c:valAx>
        <c:axId val="3598675"/>
        <c:scaling>
          <c:orientation val="minMax"/>
        </c:scaling>
        <c:delete val="0"/>
        <c:axPos val="b"/>
        <c:majorGridlines>
          <c:spPr>
            <a:ln w="9360" cap="flat" cmpd="sng" algn="ctr">
              <a:solidFill>
                <a:srgbClr val="878787"/>
              </a:solidFill>
              <a:prstDash val="solid"/>
              <a:round/>
            </a:ln>
          </c:spPr>
        </c:majorGridlines>
        <c:title>
          <c:tx>
            <c:rich>
              <a:bodyPr rot="0" spcFirstLastPara="0" vertOverflow="ellipsis" vert="horz" wrap="square" anchor="ctr" anchorCtr="1"/>
              <a:lstStyle/>
              <a:p>
                <a:pPr>
                  <a:defRPr lang="en-US" sz="1000" b="1" i="0" u="none" strike="noStrike" kern="1200" spc="-1" baseline="0">
                    <a:solidFill>
                      <a:srgbClr val="000000"/>
                    </a:solidFill>
                    <a:latin typeface="Calibri" panose="020F0502020204030204"/>
                    <a:ea typeface="+mn-ea"/>
                    <a:cs typeface="+mn-cs"/>
                  </a:defRPr>
                </a:pPr>
                <a:r>
                  <a:rPr sz="1000" b="1" strike="noStrike" spc="-1">
                    <a:solidFill>
                      <a:srgbClr val="000000"/>
                    </a:solidFill>
                    <a:latin typeface="Calibri" panose="020F0502020204030204"/>
                  </a:rPr>
                  <a:t>Population (Millions)</a:t>
                </a:r>
                <a:endParaRPr sz="1000" b="1" strike="noStrike" spc="-1">
                  <a:solidFill>
                    <a:srgbClr val="000000"/>
                  </a:solidFill>
                  <a:latin typeface="Calibri" panose="020F0502020204030204"/>
                </a:endParaRPr>
              </a:p>
            </c:rich>
          </c:tx>
          <c:layout/>
          <c:overlay val="0"/>
          <c:spPr>
            <a:noFill/>
            <a:ln w="0">
              <a:noFill/>
            </a:ln>
          </c:spPr>
        </c:title>
        <c:numFmt formatCode="0.0" sourceLinked="0"/>
        <c:majorTickMark val="none"/>
        <c:minorTickMark val="none"/>
        <c:tickLblPos val="nextTo"/>
        <c:spPr>
          <a:ln w="9360" cap="flat" cmpd="sng" algn="ctr">
            <a:solidFill>
              <a:srgbClr val="878787"/>
            </a:solidFill>
            <a:prstDash val="solid"/>
            <a:round/>
          </a:ln>
        </c:spPr>
        <c:txPr>
          <a:bodyPr rot="-60000000" spcFirstLastPara="0" vertOverflow="ellipsis" vert="horz" wrap="square" anchor="ctr" anchorCtr="1"/>
          <a:lstStyle/>
          <a:p>
            <a:pPr>
              <a:defRPr lang="en-US" sz="1000" b="0" i="0" u="none" strike="noStrike" kern="1200" spc="-1" baseline="0">
                <a:solidFill>
                  <a:srgbClr val="000000"/>
                </a:solidFill>
                <a:latin typeface="Calibri" panose="020F0502020204030204"/>
                <a:ea typeface="+mn-ea"/>
                <a:cs typeface="+mn-cs"/>
              </a:defRPr>
            </a:pPr>
          </a:p>
        </c:txPr>
        <c:crossAx val="81313094"/>
        <c:crosses val="autoZero"/>
        <c:crossBetween val="between"/>
      </c:valAx>
      <c:spPr>
        <a:noFill/>
        <a:ln w="0">
          <a:noFill/>
        </a:ln>
      </c:spPr>
    </c:plotArea>
    <c:legend>
      <c:legendPos val="r"/>
      <c:layout/>
      <c:overlay val="0"/>
      <c:spPr>
        <a:noFill/>
        <a:ln w="0">
          <a:noFill/>
        </a:ln>
      </c:spPr>
      <c:txPr>
        <a:bodyPr rot="0" spcFirstLastPara="0" vertOverflow="ellipsis" vert="horz" wrap="square" anchor="ctr" anchorCtr="1"/>
        <a:lstStyle/>
        <a:p>
          <a:pPr>
            <a:defRPr lang="en-US" sz="1000" b="0" i="0" u="none" strike="noStrike" kern="1200" spc="-1" baseline="0">
              <a:solidFill>
                <a:srgbClr val="000000"/>
              </a:solidFill>
              <a:latin typeface="Calibri" panose="020F0502020204030204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466d47bb-1011-4f59-9042-ca518247c381}"/>
      </c:ext>
    </c:extLst>
  </c:chart>
  <c:spPr>
    <a:solidFill>
      <a:srgbClr val="FFFFFF"/>
    </a:solidFill>
    <a:ln w="9360" cap="flat" cmpd="sng" algn="ctr">
      <a:solidFill>
        <a:srgbClr val="D9D9D9"/>
      </a:solidFill>
      <a:prstDash val="solid"/>
      <a:round/>
    </a:ln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>
              <a:defRPr lang="en-US" sz="1800" b="1" i="0" u="none" strike="noStrike" kern="1200" spc="-1" baseline="0">
                <a:solidFill>
                  <a:srgbClr val="000000"/>
                </a:solidFill>
                <a:latin typeface="Calibri" panose="020F0502020204030204"/>
                <a:ea typeface="+mn-ea"/>
                <a:cs typeface="+mn-cs"/>
              </a:defRPr>
            </a:pPr>
            <a:r>
              <a:rPr sz="1800" b="1" strike="noStrike" spc="-1">
                <a:solidFill>
                  <a:srgbClr val="000000"/>
                </a:solidFill>
                <a:latin typeface="Calibri" panose="020F0502020204030204"/>
              </a:rPr>
              <a:t>Population Share by Region (2021)</a:t>
            </a:r>
            <a:endParaRPr sz="1800" b="1" strike="noStrike" spc="-1">
              <a:solidFill>
                <a:srgbClr val="000000"/>
              </a:solidFill>
              <a:latin typeface="Calibri" panose="020F0502020204030204"/>
            </a:endParaRPr>
          </a:p>
        </c:rich>
      </c:tx>
      <c:layout>
        <c:manualLayout>
          <c:xMode val="edge"/>
          <c:yMode val="edge"/>
          <c:x val="0.212270564242012"/>
          <c:y val="0.01806684733514"/>
        </c:manualLayout>
      </c:layout>
      <c:overlay val="0"/>
      <c:spPr>
        <a:noFill/>
        <a:ln w="0">
          <a:noFill/>
        </a:ln>
      </c:spPr>
    </c:title>
    <c:autoTitleDeleted val="0"/>
    <c:plotArea>
      <c:layout/>
      <c:pieChart>
        <c:varyColors val="1"/>
        <c:ser>
          <c:idx val="0"/>
          <c:order val="0"/>
          <c:tx>
            <c:strRef>
              <c:f>Charts!$K$4</c:f>
              <c:strCache>
                <c:ptCount val="1"/>
                <c:pt idx="0">
                  <c:v>Pop 2021 (M)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explosion val="0"/>
          <c:dPt>
            <c:idx val="0"/>
            <c:bubble3D val="0"/>
            <c:spPr>
              <a:solidFill>
                <a:srgbClr val="FF9933"/>
              </a:solidFill>
              <a:ln w="0">
                <a:noFill/>
              </a:ln>
            </c:spPr>
          </c:dPt>
          <c:dPt>
            <c:idx val="1"/>
            <c:bubble3D val="0"/>
            <c:spPr>
              <a:solidFill>
                <a:srgbClr val="138808"/>
              </a:solidFill>
              <a:ln w="0">
                <a:noFill/>
              </a:ln>
            </c:spPr>
          </c:dPt>
          <c:dPt>
            <c:idx val="2"/>
            <c:bubble3D val="0"/>
            <c:spPr>
              <a:solidFill>
                <a:srgbClr val="000080"/>
              </a:solidFill>
              <a:ln w="0">
                <a:noFill/>
              </a:ln>
            </c:spPr>
          </c:dPt>
          <c:dPt>
            <c:idx val="3"/>
            <c:bubble3D val="0"/>
            <c:spPr>
              <a:solidFill>
                <a:srgbClr val="00796B"/>
              </a:solidFill>
              <a:ln w="0">
                <a:noFill/>
              </a:ln>
            </c:spPr>
          </c:dPt>
          <c:dPt>
            <c:idx val="4"/>
            <c:bubble3D val="0"/>
            <c:spPr>
              <a:solidFill>
                <a:srgbClr val="6A1B9A"/>
              </a:solidFill>
              <a:ln w="0">
                <a:noFill/>
              </a:ln>
            </c:spPr>
          </c:dPt>
          <c:dPt>
            <c:idx val="5"/>
            <c:bubble3D val="0"/>
            <c:spPr>
              <a:solidFill>
                <a:srgbClr val="F9A825"/>
              </a:solidFill>
              <a:ln w="0">
                <a:noFill/>
              </a:ln>
            </c:spPr>
          </c:dPt>
          <c:dLbls>
            <c:dLbl>
              <c:idx val="0"/>
              <c:layout/>
              <c:numFmt formatCode="General" sourceLinked="1"/>
              <c:spPr>
                <a:noFill/>
                <a:ln>
                  <a:noFill/>
                </a:ln>
                <a:effectLst/>
              </c:spPr>
              <c:txPr>
                <a:bodyPr rot="0" spcFirstLastPara="0" vertOverflow="ellipsis" vert="horz" wrap="square" lIns="38100" tIns="19050" rIns="38100" bIns="19050" anchor="ctr" anchorCtr="1"/>
                <a:lstStyle/>
                <a:p>
                  <a:pPr>
                    <a:defRPr lang="en-US" sz="1000" b="0" i="0" u="none" strike="noStrike" kern="1200" spc="-1" baseline="0">
                      <a:solidFill>
                        <a:srgbClr val="000000"/>
                      </a:solidFill>
                      <a:latin typeface="Arial" panose="020B0604020202020204"/>
                      <a:ea typeface="+mn-ea"/>
                      <a:cs typeface="+mn-cs"/>
                    </a:defRPr>
                  </a:pPr>
                </a:p>
              </c:txPr>
              <c:dLblPos val="bestFit"/>
              <c:showLegendKey val="0"/>
              <c:showVal val="0"/>
              <c:showCatName val="0"/>
              <c:showSerName val="0"/>
              <c:showPercent val="0"/>
              <c:showBubbleSize val="1"/>
              <c:separator>; </c:separator>
              <c:extLst>
                <c:ext xmlns:c15="http://schemas.microsoft.com/office/drawing/2012/chart" uri="{CE6537A1-D6FC-4f65-9D91-7224C49458BB}"/>
              </c:extLst>
            </c:dLbl>
            <c:dLbl>
              <c:idx val="1"/>
              <c:layout/>
              <c:numFmt formatCode="General" sourceLinked="1"/>
              <c:spPr>
                <a:noFill/>
                <a:ln>
                  <a:noFill/>
                </a:ln>
                <a:effectLst/>
              </c:spPr>
              <c:txPr>
                <a:bodyPr rot="0" spcFirstLastPara="0" vertOverflow="ellipsis" vert="horz" wrap="square" lIns="38100" tIns="19050" rIns="38100" bIns="19050" anchor="ctr" anchorCtr="1"/>
                <a:lstStyle/>
                <a:p>
                  <a:pPr>
                    <a:defRPr lang="en-US" sz="1000" b="0" i="0" u="none" strike="noStrike" kern="1200" spc="-1" baseline="0">
                      <a:solidFill>
                        <a:srgbClr val="000000"/>
                      </a:solidFill>
                      <a:latin typeface="Arial" panose="020B0604020202020204"/>
                      <a:ea typeface="+mn-ea"/>
                      <a:cs typeface="+mn-cs"/>
                    </a:defRPr>
                  </a:pPr>
                </a:p>
              </c:txPr>
              <c:dLblPos val="bestFit"/>
              <c:showLegendKey val="0"/>
              <c:showVal val="0"/>
              <c:showCatName val="0"/>
              <c:showSerName val="0"/>
              <c:showPercent val="0"/>
              <c:showBubbleSize val="1"/>
              <c:separator>; </c:separator>
              <c:extLst>
                <c:ext xmlns:c15="http://schemas.microsoft.com/office/drawing/2012/chart" uri="{CE6537A1-D6FC-4f65-9D91-7224C49458BB}"/>
              </c:extLst>
            </c:dLbl>
            <c:dLbl>
              <c:idx val="2"/>
              <c:layout/>
              <c:numFmt formatCode="General" sourceLinked="1"/>
              <c:spPr>
                <a:noFill/>
                <a:ln>
                  <a:noFill/>
                </a:ln>
                <a:effectLst/>
              </c:spPr>
              <c:txPr>
                <a:bodyPr rot="0" spcFirstLastPara="0" vertOverflow="ellipsis" vert="horz" wrap="square" lIns="38100" tIns="19050" rIns="38100" bIns="19050" anchor="ctr" anchorCtr="1"/>
                <a:lstStyle/>
                <a:p>
                  <a:pPr>
                    <a:defRPr lang="en-US" sz="1000" b="0" i="0" u="none" strike="noStrike" kern="1200" spc="-1" baseline="0">
                      <a:solidFill>
                        <a:srgbClr val="000000"/>
                      </a:solidFill>
                      <a:latin typeface="Arial" panose="020B0604020202020204"/>
                      <a:ea typeface="+mn-ea"/>
                      <a:cs typeface="+mn-cs"/>
                    </a:defRPr>
                  </a:pPr>
                </a:p>
              </c:txPr>
              <c:dLblPos val="bestFit"/>
              <c:showLegendKey val="0"/>
              <c:showVal val="0"/>
              <c:showCatName val="0"/>
              <c:showSerName val="0"/>
              <c:showPercent val="0"/>
              <c:showBubbleSize val="1"/>
              <c:separator>; </c:separator>
              <c:extLst>
                <c:ext xmlns:c15="http://schemas.microsoft.com/office/drawing/2012/chart" uri="{CE6537A1-D6FC-4f65-9D91-7224C49458BB}"/>
              </c:extLst>
            </c:dLbl>
            <c:dLbl>
              <c:idx val="3"/>
              <c:layout/>
              <c:numFmt formatCode="General" sourceLinked="1"/>
              <c:spPr>
                <a:noFill/>
                <a:ln>
                  <a:noFill/>
                </a:ln>
                <a:effectLst/>
              </c:spPr>
              <c:txPr>
                <a:bodyPr rot="0" spcFirstLastPara="0" vertOverflow="ellipsis" vert="horz" wrap="square" lIns="38100" tIns="19050" rIns="38100" bIns="19050" anchor="ctr" anchorCtr="1"/>
                <a:lstStyle/>
                <a:p>
                  <a:pPr>
                    <a:defRPr lang="en-US" sz="1000" b="0" i="0" u="none" strike="noStrike" kern="1200" spc="-1" baseline="0">
                      <a:solidFill>
                        <a:srgbClr val="000000"/>
                      </a:solidFill>
                      <a:latin typeface="Arial" panose="020B0604020202020204"/>
                      <a:ea typeface="+mn-ea"/>
                      <a:cs typeface="+mn-cs"/>
                    </a:defRPr>
                  </a:pPr>
                </a:p>
              </c:txPr>
              <c:dLblPos val="bestFit"/>
              <c:showLegendKey val="0"/>
              <c:showVal val="0"/>
              <c:showCatName val="0"/>
              <c:showSerName val="0"/>
              <c:showPercent val="0"/>
              <c:showBubbleSize val="1"/>
              <c:separator>; </c:separator>
              <c:extLst>
                <c:ext xmlns:c15="http://schemas.microsoft.com/office/drawing/2012/chart" uri="{CE6537A1-D6FC-4f65-9D91-7224C49458BB}"/>
              </c:extLst>
            </c:dLbl>
            <c:dLbl>
              <c:idx val="4"/>
              <c:layout/>
              <c:numFmt formatCode="General" sourceLinked="1"/>
              <c:spPr>
                <a:noFill/>
                <a:ln>
                  <a:noFill/>
                </a:ln>
                <a:effectLst/>
              </c:spPr>
              <c:txPr>
                <a:bodyPr rot="0" spcFirstLastPara="0" vertOverflow="ellipsis" vert="horz" wrap="square" lIns="38100" tIns="19050" rIns="38100" bIns="19050" anchor="ctr" anchorCtr="1"/>
                <a:lstStyle/>
                <a:p>
                  <a:pPr>
                    <a:defRPr lang="en-US" sz="1000" b="0" i="0" u="none" strike="noStrike" kern="1200" spc="-1" baseline="0">
                      <a:solidFill>
                        <a:srgbClr val="000000"/>
                      </a:solidFill>
                      <a:latin typeface="Arial" panose="020B0604020202020204"/>
                      <a:ea typeface="+mn-ea"/>
                      <a:cs typeface="+mn-cs"/>
                    </a:defRPr>
                  </a:pPr>
                </a:p>
              </c:txPr>
              <c:dLblPos val="bestFit"/>
              <c:showLegendKey val="0"/>
              <c:showVal val="0"/>
              <c:showCatName val="0"/>
              <c:showSerName val="0"/>
              <c:showPercent val="0"/>
              <c:showBubbleSize val="1"/>
              <c:separator>; </c:separator>
              <c:extLst>
                <c:ext xmlns:c15="http://schemas.microsoft.com/office/drawing/2012/chart" uri="{CE6537A1-D6FC-4f65-9D91-7224C49458BB}"/>
              </c:extLst>
            </c:dLbl>
            <c:dLbl>
              <c:idx val="5"/>
              <c:layout/>
              <c:numFmt formatCode="General" sourceLinked="1"/>
              <c:spPr>
                <a:noFill/>
                <a:ln>
                  <a:noFill/>
                </a:ln>
                <a:effectLst/>
              </c:spPr>
              <c:txPr>
                <a:bodyPr rot="0" spcFirstLastPara="0" vertOverflow="ellipsis" vert="horz" wrap="square" lIns="38100" tIns="19050" rIns="38100" bIns="19050" anchor="ctr" anchorCtr="1"/>
                <a:lstStyle/>
                <a:p>
                  <a:pPr>
                    <a:defRPr lang="en-US" sz="1000" b="0" i="0" u="none" strike="noStrike" kern="1200" spc="-1" baseline="0">
                      <a:solidFill>
                        <a:srgbClr val="000000"/>
                      </a:solidFill>
                      <a:latin typeface="Arial" panose="020B0604020202020204"/>
                      <a:ea typeface="+mn-ea"/>
                      <a:cs typeface="+mn-cs"/>
                    </a:defRPr>
                  </a:pPr>
                </a:p>
              </c:txPr>
              <c:dLblPos val="bestFit"/>
              <c:showLegendKey val="0"/>
              <c:showVal val="0"/>
              <c:showCatName val="0"/>
              <c:showSerName val="0"/>
              <c:showPercent val="0"/>
              <c:showBubbleSize val="1"/>
              <c:separator>; </c:separator>
              <c:extLst>
                <c:ext xmlns:c15="http://schemas.microsoft.com/office/drawing/2012/chart" uri="{CE6537A1-D6FC-4f65-9D91-7224C49458BB}"/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n-US" sz="1000" b="0" i="0" u="none" strike="noStrike" kern="1200" spc="-1" baseline="0">
                    <a:solidFill>
                      <a:srgbClr val="000000"/>
                    </a:solidFill>
                    <a:latin typeface="Arial" panose="020B0604020202020204"/>
                    <a:ea typeface="+mn-ea"/>
                    <a:cs typeface="+mn-cs"/>
                  </a:defRPr>
                </a:pPr>
              </a:p>
            </c:txPr>
            <c:dLblPos val="bestFit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1"/>
            <c:extLst>
              <c:ext xmlns:c15="http://schemas.microsoft.com/office/drawing/2012/chart" uri="{CE6537A1-D6FC-4f65-9D91-7224C49458BB}">
                <c15:layout/>
                <c15:showLeaderLines val="1"/>
                <c15:leaderLines/>
              </c:ext>
            </c:extLst>
          </c:dLbls>
          <c:cat>
            <c:strRef>
              <c:f>Charts!$J$5:$J$10</c:f>
              <c:strCache>
                <c:ptCount val="6"/>
                <c:pt idx="0">
                  <c:v>North</c:v>
                </c:pt>
                <c:pt idx="1">
                  <c:v>South</c:v>
                </c:pt>
                <c:pt idx="2">
                  <c:v>East</c:v>
                </c:pt>
                <c:pt idx="3">
                  <c:v>West</c:v>
                </c:pt>
                <c:pt idx="4">
                  <c:v>Central</c:v>
                </c:pt>
                <c:pt idx="5">
                  <c:v>Northeast</c:v>
                </c:pt>
              </c:strCache>
            </c:strRef>
          </c:cat>
          <c:val>
            <c:numRef>
              <c:f>Charts!$K$5:$K$10</c:f>
              <c:numCache>
                <c:formatCode>0.0</c:formatCode>
                <c:ptCount val="6"/>
                <c:pt idx="0">
                  <c:v>427.525</c:v>
                </c:pt>
                <c:pt idx="1">
                  <c:v>275.47</c:v>
                </c:pt>
                <c:pt idx="2">
                  <c:v>304.42</c:v>
                </c:pt>
                <c:pt idx="3">
                  <c:v>195.35</c:v>
                </c:pt>
                <c:pt idx="4">
                  <c:v>113</c:v>
                </c:pt>
                <c:pt idx="5">
                  <c:v>51.35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1"/>
          <c:showLeaderLines val="1"/>
        </c:dLbls>
        <c:firstSliceAng val="0"/>
      </c:pieChart>
      <c:spPr>
        <a:noFill/>
        <a:ln w="0">
          <a:noFill/>
        </a:ln>
      </c:spPr>
    </c:plotArea>
    <c:legend>
      <c:legendPos val="r"/>
      <c:layout/>
      <c:overlay val="0"/>
      <c:spPr>
        <a:noFill/>
        <a:ln w="0">
          <a:noFill/>
        </a:ln>
      </c:spPr>
      <c:txPr>
        <a:bodyPr rot="0" spcFirstLastPara="0" vertOverflow="ellipsis" vert="horz" wrap="square" anchor="ctr" anchorCtr="1"/>
        <a:lstStyle/>
        <a:p>
          <a:pPr>
            <a:defRPr lang="en-US" sz="1000" b="0" i="0" u="none" strike="noStrike" kern="1200" spc="-1" baseline="0">
              <a:solidFill>
                <a:srgbClr val="000000"/>
              </a:solidFill>
              <a:latin typeface="Calibri" panose="020F0502020204030204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3ad90c17-58af-4db1-9bea-b18d19c7e64f}"/>
      </c:ext>
    </c:extLst>
  </c:chart>
  <c:spPr>
    <a:solidFill>
      <a:srgbClr val="FFFFFF"/>
    </a:solidFill>
    <a:ln w="9360" cap="flat" cmpd="sng" algn="ctr">
      <a:solidFill>
        <a:srgbClr val="D9D9D9"/>
      </a:solidFill>
      <a:prstDash val="solid"/>
      <a:round/>
    </a:ln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>
              <a:defRPr lang="en-US" sz="1800" b="1" i="0" u="none" strike="noStrike" kern="1200" spc="-1" baseline="0">
                <a:solidFill>
                  <a:srgbClr val="000000"/>
                </a:solidFill>
                <a:latin typeface="Calibri" panose="020F0502020204030204"/>
                <a:ea typeface="+mn-ea"/>
                <a:cs typeface="+mn-cs"/>
              </a:defRPr>
            </a:pPr>
            <a:r>
              <a:rPr sz="1800" b="1" strike="noStrike" spc="-1">
                <a:solidFill>
                  <a:srgbClr val="000000"/>
                </a:solidFill>
                <a:latin typeface="Calibri" panose="020F0502020204030204"/>
              </a:rPr>
              <a:t>Urban vs Rural Population by Region</a:t>
            </a:r>
            <a:endParaRPr sz="1800" b="1" strike="noStrike" spc="-1">
              <a:solidFill>
                <a:srgbClr val="000000"/>
              </a:solidFill>
              <a:latin typeface="Calibri" panose="020F0502020204030204"/>
            </a:endParaRPr>
          </a:p>
        </c:rich>
      </c:tx>
      <c:layout/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Charts!$B$21</c:f>
              <c:strCache>
                <c:ptCount val="1"/>
                <c:pt idx="0">
                  <c:v>Urban (M)</c:v>
                </c:pt>
              </c:strCache>
            </c:strRef>
          </c:tx>
          <c:spPr>
            <a:solidFill>
              <a:srgbClr val="00796B"/>
            </a:solidFill>
            <a:ln w="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n-US" sz="1000" b="0" i="0" u="none" strike="noStrike" kern="1200" spc="-1" baseline="0">
                    <a:solidFill>
                      <a:srgbClr val="000000"/>
                    </a:solidFill>
                    <a:latin typeface="Arial" panose="020B0604020202020204"/>
                    <a:ea typeface="+mn-ea"/>
                    <a:cs typeface="+mn-cs"/>
                  </a:defRPr>
                </a:pPr>
              </a:p>
            </c:txPr>
            <c:dLblPos val="ct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/>
              </c:ext>
            </c:extLst>
          </c:dLbls>
          <c:cat>
            <c:strRef>
              <c:f>Charts!$A$22:$A$27</c:f>
              <c:strCache>
                <c:ptCount val="6"/>
                <c:pt idx="0">
                  <c:v>North</c:v>
                </c:pt>
                <c:pt idx="1">
                  <c:v>South</c:v>
                </c:pt>
                <c:pt idx="2">
                  <c:v>East</c:v>
                </c:pt>
                <c:pt idx="3">
                  <c:v>West</c:v>
                </c:pt>
                <c:pt idx="4">
                  <c:v>Central</c:v>
                </c:pt>
                <c:pt idx="5">
                  <c:v>NE</c:v>
                </c:pt>
              </c:strCache>
            </c:strRef>
          </c:cat>
          <c:val>
            <c:numRef>
              <c:f>Charts!$B$22:$B$27</c:f>
              <c:numCache>
                <c:formatCode>0.0</c:formatCode>
                <c:ptCount val="6"/>
                <c:pt idx="0">
                  <c:v>105.3487</c:v>
                </c:pt>
                <c:pt idx="1">
                  <c:v>105.809672</c:v>
                </c:pt>
                <c:pt idx="2">
                  <c:v>55.959909</c:v>
                </c:pt>
                <c:pt idx="3">
                  <c:v>77.643413</c:v>
                </c:pt>
                <c:pt idx="4">
                  <c:v>25.998028</c:v>
                </c:pt>
                <c:pt idx="5">
                  <c:v>0</c:v>
                </c:pt>
              </c:numCache>
            </c:numRef>
          </c:val>
        </c:ser>
        <c:ser>
          <c:idx val="1"/>
          <c:order val="1"/>
          <c:tx>
            <c:strRef>
              <c:f>Charts!$C$21</c:f>
              <c:strCache>
                <c:ptCount val="1"/>
                <c:pt idx="0">
                  <c:v>Rural (M)</c:v>
                </c:pt>
              </c:strCache>
            </c:strRef>
          </c:tx>
          <c:spPr>
            <a:solidFill>
              <a:srgbClr val="138808"/>
            </a:solidFill>
            <a:ln w="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n-US" sz="1000" b="0" i="0" u="none" strike="noStrike" kern="1200" spc="-1" baseline="0">
                    <a:solidFill>
                      <a:srgbClr val="000000"/>
                    </a:solidFill>
                    <a:latin typeface="Arial" panose="020B0604020202020204"/>
                    <a:ea typeface="+mn-ea"/>
                    <a:cs typeface="+mn-cs"/>
                  </a:defRPr>
                </a:pPr>
              </a:p>
            </c:txPr>
            <c:dLblPos val="ct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/>
              </c:ext>
            </c:extLst>
          </c:dLbls>
          <c:cat>
            <c:strRef>
              <c:f>Charts!$A$22:$A$27</c:f>
              <c:strCache>
                <c:ptCount val="6"/>
                <c:pt idx="0">
                  <c:v>North</c:v>
                </c:pt>
                <c:pt idx="1">
                  <c:v>South</c:v>
                </c:pt>
                <c:pt idx="2">
                  <c:v>East</c:v>
                </c:pt>
                <c:pt idx="3">
                  <c:v>West</c:v>
                </c:pt>
                <c:pt idx="4">
                  <c:v>Central</c:v>
                </c:pt>
                <c:pt idx="5">
                  <c:v>NE</c:v>
                </c:pt>
              </c:strCache>
            </c:strRef>
          </c:cat>
          <c:val>
            <c:numRef>
              <c:f>Charts!$C$22:$C$27</c:f>
              <c:numCache>
                <c:formatCode>0.0</c:formatCode>
                <c:ptCount val="6"/>
                <c:pt idx="0">
                  <c:v>263.716754</c:v>
                </c:pt>
                <c:pt idx="1">
                  <c:v>146.541615</c:v>
                </c:pt>
                <c:pt idx="2">
                  <c:v>214.758591</c:v>
                </c:pt>
                <c:pt idx="3">
                  <c:v>97.216113</c:v>
                </c:pt>
                <c:pt idx="4">
                  <c:v>72.173979</c:v>
                </c:pt>
                <c:pt idx="5">
                  <c:v>0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1"/>
        </c:dLbls>
        <c:gapWidth val="150"/>
        <c:overlap val="100"/>
        <c:axId val="76459702"/>
        <c:axId val="14843044"/>
      </c:barChart>
      <c:catAx>
        <c:axId val="76459702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9360" cap="flat" cmpd="sng" algn="ctr">
            <a:solidFill>
              <a:srgbClr val="878787"/>
            </a:solidFill>
            <a:prstDash val="solid"/>
            <a:round/>
          </a:ln>
        </c:spPr>
        <c:txPr>
          <a:bodyPr rot="-60000000" spcFirstLastPara="0" vertOverflow="ellipsis" vert="horz" wrap="square" anchor="ctr" anchorCtr="1"/>
          <a:lstStyle/>
          <a:p>
            <a:pPr>
              <a:defRPr lang="en-US" sz="1000" b="0" i="0" u="none" strike="noStrike" kern="1200" spc="-1" baseline="0">
                <a:solidFill>
                  <a:srgbClr val="000000"/>
                </a:solidFill>
                <a:latin typeface="Calibri" panose="020F0502020204030204"/>
                <a:ea typeface="+mn-ea"/>
                <a:cs typeface="+mn-cs"/>
              </a:defRPr>
            </a:pPr>
          </a:p>
        </c:txPr>
        <c:crossAx val="14843044"/>
        <c:crosses val="autoZero"/>
        <c:auto val="1"/>
        <c:lblAlgn val="ctr"/>
        <c:lblOffset val="100"/>
        <c:noMultiLvlLbl val="0"/>
      </c:catAx>
      <c:valAx>
        <c:axId val="14843044"/>
        <c:scaling>
          <c:orientation val="minMax"/>
        </c:scaling>
        <c:delete val="0"/>
        <c:axPos val="l"/>
        <c:majorGridlines>
          <c:spPr>
            <a:ln w="9360" cap="flat" cmpd="sng" algn="ctr">
              <a:solidFill>
                <a:srgbClr val="878787"/>
              </a:solidFill>
              <a:prstDash val="solid"/>
              <a:round/>
            </a:ln>
          </c:spPr>
        </c:majorGridlines>
        <c:title>
          <c:tx>
            <c:rich>
              <a:bodyPr rot="-5400000" spcFirstLastPara="0" vertOverflow="ellipsis" vert="horz" wrap="square" anchor="ctr" anchorCtr="1"/>
              <a:lstStyle/>
              <a:p>
                <a:pPr>
                  <a:defRPr lang="en-US" sz="1000" b="1" i="0" u="none" strike="noStrike" kern="1200" spc="-1" baseline="0">
                    <a:solidFill>
                      <a:srgbClr val="000000"/>
                    </a:solidFill>
                    <a:latin typeface="Calibri" panose="020F0502020204030204"/>
                    <a:ea typeface="+mn-ea"/>
                    <a:cs typeface="+mn-cs"/>
                  </a:defRPr>
                </a:pPr>
                <a:r>
                  <a:rPr sz="1000" b="1" strike="noStrike" spc="-1">
                    <a:solidFill>
                      <a:srgbClr val="000000"/>
                    </a:solidFill>
                    <a:latin typeface="Calibri" panose="020F0502020204030204"/>
                  </a:rPr>
                  <a:t>Population (Millions)</a:t>
                </a:r>
                <a:endParaRPr sz="1000" b="1" strike="noStrike" spc="-1">
                  <a:solidFill>
                    <a:srgbClr val="000000"/>
                  </a:solidFill>
                  <a:latin typeface="Calibri" panose="020F0502020204030204"/>
                </a:endParaRPr>
              </a:p>
            </c:rich>
          </c:tx>
          <c:layout/>
          <c:overlay val="0"/>
          <c:spPr>
            <a:noFill/>
            <a:ln w="0">
              <a:noFill/>
            </a:ln>
          </c:spPr>
        </c:title>
        <c:numFmt formatCode="0.0" sourceLinked="0"/>
        <c:majorTickMark val="none"/>
        <c:minorTickMark val="none"/>
        <c:tickLblPos val="nextTo"/>
        <c:spPr>
          <a:ln w="9360" cap="flat" cmpd="sng" algn="ctr">
            <a:solidFill>
              <a:srgbClr val="878787"/>
            </a:solidFill>
            <a:prstDash val="solid"/>
            <a:round/>
          </a:ln>
        </c:spPr>
        <c:txPr>
          <a:bodyPr rot="-60000000" spcFirstLastPara="0" vertOverflow="ellipsis" vert="horz" wrap="square" anchor="ctr" anchorCtr="1"/>
          <a:lstStyle/>
          <a:p>
            <a:pPr>
              <a:defRPr lang="en-US" sz="1000" b="0" i="0" u="none" strike="noStrike" kern="1200" spc="-1" baseline="0">
                <a:solidFill>
                  <a:srgbClr val="000000"/>
                </a:solidFill>
                <a:latin typeface="Calibri" panose="020F0502020204030204"/>
                <a:ea typeface="+mn-ea"/>
                <a:cs typeface="+mn-cs"/>
              </a:defRPr>
            </a:pPr>
          </a:p>
        </c:txPr>
        <c:crossAx val="76459702"/>
        <c:crosses val="autoZero"/>
        <c:crossBetween val="between"/>
      </c:valAx>
      <c:spPr>
        <a:noFill/>
        <a:ln w="0">
          <a:noFill/>
        </a:ln>
      </c:spPr>
    </c:plotArea>
    <c:legend>
      <c:legendPos val="r"/>
      <c:layout/>
      <c:overlay val="0"/>
      <c:spPr>
        <a:noFill/>
        <a:ln w="0">
          <a:noFill/>
        </a:ln>
      </c:spPr>
      <c:txPr>
        <a:bodyPr rot="0" spcFirstLastPara="0" vertOverflow="ellipsis" vert="horz" wrap="square" anchor="ctr" anchorCtr="1"/>
        <a:lstStyle/>
        <a:p>
          <a:pPr>
            <a:defRPr lang="en-US" sz="1000" b="0" i="0" u="none" strike="noStrike" kern="1200" spc="-1" baseline="0">
              <a:solidFill>
                <a:srgbClr val="000000"/>
              </a:solidFill>
              <a:latin typeface="Calibri" panose="020F0502020204030204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c364cf6f-0e5d-47bb-a46a-d57001b43858}"/>
      </c:ext>
    </c:extLst>
  </c:chart>
  <c:spPr>
    <a:solidFill>
      <a:srgbClr val="FFFFFF"/>
    </a:solidFill>
    <a:ln w="9360" cap="flat" cmpd="sng" algn="ctr">
      <a:solidFill>
        <a:srgbClr val="D9D9D9"/>
      </a:solidFill>
      <a:prstDash val="solid"/>
      <a:round/>
    </a:ln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4</xdr:col>
      <xdr:colOff>494665</xdr:colOff>
      <xdr:row>1</xdr:row>
      <xdr:rowOff>60960</xdr:rowOff>
    </xdr:from>
    <xdr:to>
      <xdr:col>13</xdr:col>
      <xdr:colOff>460375</xdr:colOff>
      <xdr:row>17</xdr:row>
      <xdr:rowOff>156210</xdr:rowOff>
    </xdr:to>
    <xdr:graphicFrame>
      <xdr:nvGraphicFramePr>
        <xdr:cNvPr id="2" name="Chart 1"/>
        <xdr:cNvGraphicFramePr/>
      </xdr:nvGraphicFramePr>
      <xdr:xfrm>
        <a:off x="3832860" y="537210"/>
        <a:ext cx="5913755" cy="319849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12</xdr:col>
      <xdr:colOff>381635</xdr:colOff>
      <xdr:row>18</xdr:row>
      <xdr:rowOff>15240</xdr:rowOff>
    </xdr:from>
    <xdr:to>
      <xdr:col>19</xdr:col>
      <xdr:colOff>568325</xdr:colOff>
      <xdr:row>35</xdr:row>
      <xdr:rowOff>125730</xdr:rowOff>
    </xdr:to>
    <xdr:graphicFrame>
      <xdr:nvGraphicFramePr>
        <xdr:cNvPr id="3" name="Chart 2"/>
        <xdr:cNvGraphicFramePr/>
      </xdr:nvGraphicFramePr>
      <xdr:xfrm>
        <a:off x="9072880" y="3777615"/>
        <a:ext cx="4351655" cy="336613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3</xdr:col>
      <xdr:colOff>357505</xdr:colOff>
      <xdr:row>21</xdr:row>
      <xdr:rowOff>37465</xdr:rowOff>
    </xdr:from>
    <xdr:to>
      <xdr:col>11</xdr:col>
      <xdr:colOff>559435</xdr:colOff>
      <xdr:row>36</xdr:row>
      <xdr:rowOff>112395</xdr:rowOff>
    </xdr:to>
    <xdr:graphicFrame>
      <xdr:nvGraphicFramePr>
        <xdr:cNvPr id="4" name="Chart 3"/>
        <xdr:cNvGraphicFramePr/>
      </xdr:nvGraphicFramePr>
      <xdr:xfrm>
        <a:off x="3100705" y="4449445"/>
        <a:ext cx="5554980" cy="286385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"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</a:theme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FF9933"/>
  </sheetPr>
  <dimension ref="A1:Q41"/>
  <sheetViews>
    <sheetView showGridLines="0" workbookViewId="0">
      <pane ySplit="2" topLeftCell="A3" activePane="bottomLeft" state="frozen"/>
      <selection/>
      <selection pane="bottomLeft" activeCell="A1" sqref="A1:Q1"/>
    </sheetView>
  </sheetViews>
  <sheetFormatPr defaultColWidth="8.67592592592593" defaultRowHeight="14.4"/>
  <cols>
    <col min="1" max="1" width="22" style="1" customWidth="1"/>
    <col min="2" max="2" width="10" style="1" customWidth="1"/>
    <col min="3" max="3" width="9" style="1" customWidth="1"/>
    <col min="4" max="4" width="11" style="1" customWidth="1"/>
    <col min="5" max="8" width="16" style="1" customWidth="1"/>
    <col min="9" max="11" width="15" style="1" customWidth="1"/>
    <col min="12" max="13" width="12" style="1" customWidth="1"/>
    <col min="14" max="14" width="14" style="1" customWidth="1"/>
    <col min="15" max="15" width="10" style="1" customWidth="1"/>
    <col min="16" max="16" width="16" style="1" customWidth="1"/>
  </cols>
  <sheetData>
    <row r="1" ht="42" customHeight="1" spans="1:17">
      <c r="A1" s="97" t="s">
        <v>0</v>
      </c>
      <c r="B1" s="97"/>
      <c r="C1" s="97"/>
      <c r="D1" s="97"/>
      <c r="E1" s="97"/>
      <c r="F1" s="97"/>
      <c r="G1" s="97"/>
      <c r="H1" s="97"/>
      <c r="I1" s="97"/>
      <c r="J1" s="97"/>
      <c r="K1" s="97"/>
      <c r="L1" s="97"/>
      <c r="M1" s="97"/>
      <c r="N1" s="97"/>
      <c r="O1" s="97"/>
      <c r="P1" s="97"/>
      <c r="Q1" s="97"/>
    </row>
    <row r="2" ht="19.5" customHeight="1" spans="1:17">
      <c r="A2" s="12" t="s">
        <v>1</v>
      </c>
      <c r="B2" s="12"/>
      <c r="C2" s="12"/>
      <c r="D2" s="12"/>
      <c r="E2" s="12"/>
      <c r="F2" s="12"/>
      <c r="G2" s="12"/>
      <c r="H2" s="12"/>
      <c r="I2" s="12"/>
      <c r="J2" s="12"/>
      <c r="K2" s="12"/>
      <c r="L2" s="12"/>
      <c r="M2" s="12"/>
      <c r="N2" s="12"/>
      <c r="O2" s="12"/>
      <c r="P2" s="12"/>
      <c r="Q2" s="12"/>
    </row>
    <row r="3" ht="15" customHeight="1" spans="1:17">
      <c r="A3" s="85" t="s">
        <v>2</v>
      </c>
      <c r="B3" s="85" t="s">
        <v>3</v>
      </c>
      <c r="C3" s="85" t="s">
        <v>4</v>
      </c>
      <c r="D3" s="85" t="s">
        <v>5</v>
      </c>
      <c r="E3" s="85" t="s">
        <v>6</v>
      </c>
      <c r="F3" s="85" t="s">
        <v>7</v>
      </c>
      <c r="G3" s="85" t="s">
        <v>8</v>
      </c>
      <c r="H3" s="85" t="s">
        <v>9</v>
      </c>
      <c r="I3" s="85" t="s">
        <v>10</v>
      </c>
      <c r="J3" s="85" t="s">
        <v>11</v>
      </c>
      <c r="K3" s="85" t="s">
        <v>12</v>
      </c>
      <c r="L3" s="85" t="s">
        <v>13</v>
      </c>
      <c r="M3" s="85" t="s">
        <v>14</v>
      </c>
      <c r="N3" s="85" t="s">
        <v>15</v>
      </c>
      <c r="O3" s="85" t="s">
        <v>16</v>
      </c>
      <c r="P3" s="85" t="s">
        <v>17</v>
      </c>
    </row>
    <row r="4" ht="15" customHeight="1" spans="1:17">
      <c r="A4" s="98" t="s">
        <v>18</v>
      </c>
      <c r="B4" s="99" t="s">
        <v>19</v>
      </c>
      <c r="C4" s="99" t="s">
        <v>20</v>
      </c>
      <c r="D4" s="100">
        <v>240928</v>
      </c>
      <c r="E4" s="100">
        <v>166197921</v>
      </c>
      <c r="F4" s="100">
        <v>199812341</v>
      </c>
      <c r="G4" s="100">
        <v>235000000</v>
      </c>
      <c r="H4" s="100">
        <v>44495063</v>
      </c>
      <c r="I4" s="100">
        <v>155317278</v>
      </c>
      <c r="J4" s="100">
        <v>104480510</v>
      </c>
      <c r="K4" s="100">
        <v>95331831</v>
      </c>
      <c r="L4" s="101">
        <v>829</v>
      </c>
      <c r="M4" s="101">
        <v>67.7</v>
      </c>
      <c r="N4" s="101">
        <v>20.2</v>
      </c>
      <c r="O4" s="101">
        <v>0.596</v>
      </c>
      <c r="P4" s="99" t="s">
        <v>21</v>
      </c>
    </row>
    <row r="5" ht="15" customHeight="1" spans="1:17">
      <c r="A5" s="102" t="s">
        <v>22</v>
      </c>
      <c r="B5" s="103" t="s">
        <v>23</v>
      </c>
      <c r="C5" s="103" t="s">
        <v>20</v>
      </c>
      <c r="D5" s="104">
        <v>307713</v>
      </c>
      <c r="E5" s="104">
        <v>96878627</v>
      </c>
      <c r="F5" s="104">
        <v>112374333</v>
      </c>
      <c r="G5" s="104">
        <v>126000000</v>
      </c>
      <c r="H5" s="104">
        <v>50827531</v>
      </c>
      <c r="I5" s="104">
        <v>61546802</v>
      </c>
      <c r="J5" s="104">
        <v>58243056</v>
      </c>
      <c r="K5" s="104">
        <v>54131277</v>
      </c>
      <c r="L5" s="105">
        <v>365</v>
      </c>
      <c r="M5" s="105">
        <v>82.9</v>
      </c>
      <c r="N5" s="105">
        <v>16</v>
      </c>
      <c r="O5" s="105">
        <v>0.752</v>
      </c>
      <c r="P5" s="103" t="s">
        <v>24</v>
      </c>
    </row>
    <row r="6" ht="15" customHeight="1" spans="1:17">
      <c r="A6" s="98" t="s">
        <v>25</v>
      </c>
      <c r="B6" s="99" t="s">
        <v>26</v>
      </c>
      <c r="C6" s="99" t="s">
        <v>20</v>
      </c>
      <c r="D6" s="100">
        <v>94163</v>
      </c>
      <c r="E6" s="100">
        <v>82998509</v>
      </c>
      <c r="F6" s="100">
        <v>104099452</v>
      </c>
      <c r="G6" s="100">
        <v>121000000</v>
      </c>
      <c r="H6" s="100">
        <v>11729609</v>
      </c>
      <c r="I6" s="100">
        <v>92369843</v>
      </c>
      <c r="J6" s="100">
        <v>54278157</v>
      </c>
      <c r="K6" s="100">
        <v>49821295</v>
      </c>
      <c r="L6" s="101">
        <v>1106</v>
      </c>
      <c r="M6" s="101">
        <v>63.8</v>
      </c>
      <c r="N6" s="101">
        <v>25.4</v>
      </c>
      <c r="O6" s="101">
        <v>0.569</v>
      </c>
      <c r="P6" s="99" t="s">
        <v>27</v>
      </c>
    </row>
    <row r="7" ht="15" customHeight="1" spans="1:17">
      <c r="A7" s="102" t="s">
        <v>28</v>
      </c>
      <c r="B7" s="103" t="s">
        <v>26</v>
      </c>
      <c r="C7" s="103" t="s">
        <v>20</v>
      </c>
      <c r="D7" s="104">
        <v>88752</v>
      </c>
      <c r="E7" s="104">
        <v>80176197</v>
      </c>
      <c r="F7" s="104">
        <v>91276115</v>
      </c>
      <c r="G7" s="104">
        <v>100000000</v>
      </c>
      <c r="H7" s="104">
        <v>29134060</v>
      </c>
      <c r="I7" s="104">
        <v>62142055</v>
      </c>
      <c r="J7" s="104">
        <v>46809027</v>
      </c>
      <c r="K7" s="104">
        <v>44467088</v>
      </c>
      <c r="L7" s="105">
        <v>1028</v>
      </c>
      <c r="M7" s="105">
        <v>77.1</v>
      </c>
      <c r="N7" s="105">
        <v>13.9</v>
      </c>
      <c r="O7" s="105">
        <v>0.682</v>
      </c>
      <c r="P7" s="103" t="s">
        <v>29</v>
      </c>
    </row>
    <row r="8" ht="15" customHeight="1" spans="1:17">
      <c r="A8" s="98" t="s">
        <v>30</v>
      </c>
      <c r="B8" s="99" t="s">
        <v>31</v>
      </c>
      <c r="C8" s="99" t="s">
        <v>20</v>
      </c>
      <c r="D8" s="100">
        <v>308252</v>
      </c>
      <c r="E8" s="100">
        <v>60348023</v>
      </c>
      <c r="F8" s="100">
        <v>72626809</v>
      </c>
      <c r="G8" s="100">
        <v>84000000</v>
      </c>
      <c r="H8" s="100">
        <v>20059666</v>
      </c>
      <c r="I8" s="100">
        <v>52567143</v>
      </c>
      <c r="J8" s="100">
        <v>37612306</v>
      </c>
      <c r="K8" s="100">
        <v>35014503</v>
      </c>
      <c r="L8" s="101">
        <v>236</v>
      </c>
      <c r="M8" s="101">
        <v>70.6</v>
      </c>
      <c r="N8" s="101">
        <v>20.3</v>
      </c>
      <c r="O8" s="101">
        <v>0.649</v>
      </c>
      <c r="P8" s="99" t="s">
        <v>32</v>
      </c>
    </row>
    <row r="9" ht="15" customHeight="1" spans="1:17">
      <c r="A9" s="102" t="s">
        <v>33</v>
      </c>
      <c r="B9" s="103" t="s">
        <v>19</v>
      </c>
      <c r="C9" s="103" t="s">
        <v>20</v>
      </c>
      <c r="D9" s="104">
        <v>342239</v>
      </c>
      <c r="E9" s="104">
        <v>56507188</v>
      </c>
      <c r="F9" s="104">
        <v>68548437</v>
      </c>
      <c r="G9" s="104">
        <v>80000000</v>
      </c>
      <c r="H9" s="104">
        <v>17048085</v>
      </c>
      <c r="I9" s="104">
        <v>51500352</v>
      </c>
      <c r="J9" s="104">
        <v>35550997</v>
      </c>
      <c r="K9" s="104">
        <v>32997440</v>
      </c>
      <c r="L9" s="105">
        <v>200</v>
      </c>
      <c r="M9" s="105">
        <v>66.1</v>
      </c>
      <c r="N9" s="105">
        <v>21.3</v>
      </c>
      <c r="O9" s="105">
        <v>0.628</v>
      </c>
      <c r="P9" s="103" t="s">
        <v>34</v>
      </c>
    </row>
    <row r="10" ht="15" customHeight="1" spans="1:17">
      <c r="A10" s="98" t="s">
        <v>35</v>
      </c>
      <c r="B10" s="99" t="s">
        <v>36</v>
      </c>
      <c r="C10" s="99" t="s">
        <v>20</v>
      </c>
      <c r="D10" s="100">
        <v>130058</v>
      </c>
      <c r="E10" s="100">
        <v>62405679</v>
      </c>
      <c r="F10" s="100">
        <v>72147030</v>
      </c>
      <c r="G10" s="100">
        <v>80000000</v>
      </c>
      <c r="H10" s="100">
        <v>34917440</v>
      </c>
      <c r="I10" s="100">
        <v>37229590</v>
      </c>
      <c r="J10" s="100">
        <v>36137975</v>
      </c>
      <c r="K10" s="100">
        <v>36009055</v>
      </c>
      <c r="L10" s="101">
        <v>555</v>
      </c>
      <c r="M10" s="101">
        <v>80.3</v>
      </c>
      <c r="N10" s="101">
        <v>15.6</v>
      </c>
      <c r="O10" s="101">
        <v>0.708</v>
      </c>
      <c r="P10" s="99" t="s">
        <v>37</v>
      </c>
    </row>
    <row r="11" ht="15" customHeight="1" spans="1:17">
      <c r="A11" s="102" t="s">
        <v>38</v>
      </c>
      <c r="B11" s="103" t="s">
        <v>36</v>
      </c>
      <c r="C11" s="103" t="s">
        <v>20</v>
      </c>
      <c r="D11" s="104">
        <v>191791</v>
      </c>
      <c r="E11" s="104">
        <v>52850562</v>
      </c>
      <c r="F11" s="104">
        <v>61095297</v>
      </c>
      <c r="G11" s="104">
        <v>68000000</v>
      </c>
      <c r="H11" s="104">
        <v>23625962</v>
      </c>
      <c r="I11" s="104">
        <v>37469335</v>
      </c>
      <c r="J11" s="104">
        <v>30966657</v>
      </c>
      <c r="K11" s="104">
        <v>30128640</v>
      </c>
      <c r="L11" s="105">
        <v>319</v>
      </c>
      <c r="M11" s="105">
        <v>75.6</v>
      </c>
      <c r="N11" s="105">
        <v>15.7</v>
      </c>
      <c r="O11" s="105">
        <v>0.682</v>
      </c>
      <c r="P11" s="103" t="s">
        <v>39</v>
      </c>
    </row>
    <row r="12" ht="15" customHeight="1" spans="1:17">
      <c r="A12" s="98" t="s">
        <v>40</v>
      </c>
      <c r="B12" s="99" t="s">
        <v>23</v>
      </c>
      <c r="C12" s="99" t="s">
        <v>20</v>
      </c>
      <c r="D12" s="100">
        <v>196024</v>
      </c>
      <c r="E12" s="100">
        <v>50671017</v>
      </c>
      <c r="F12" s="100">
        <v>60439692</v>
      </c>
      <c r="G12" s="100">
        <v>67000000</v>
      </c>
      <c r="H12" s="100">
        <v>25745083</v>
      </c>
      <c r="I12" s="100">
        <v>34694609</v>
      </c>
      <c r="J12" s="100">
        <v>31491260</v>
      </c>
      <c r="K12" s="100">
        <v>28948432</v>
      </c>
      <c r="L12" s="101">
        <v>308</v>
      </c>
      <c r="M12" s="101">
        <v>78</v>
      </c>
      <c r="N12" s="101">
        <v>19.3</v>
      </c>
      <c r="O12" s="101">
        <v>0.672</v>
      </c>
      <c r="P12" s="99" t="s">
        <v>41</v>
      </c>
    </row>
    <row r="13" ht="15" customHeight="1" spans="1:17">
      <c r="A13" s="102" t="s">
        <v>42</v>
      </c>
      <c r="B13" s="103" t="s">
        <v>36</v>
      </c>
      <c r="C13" s="103" t="s">
        <v>20</v>
      </c>
      <c r="D13" s="104">
        <v>162975</v>
      </c>
      <c r="E13" s="104">
        <v>76210007</v>
      </c>
      <c r="F13" s="104">
        <v>49386799</v>
      </c>
      <c r="G13" s="104">
        <v>52000000</v>
      </c>
      <c r="H13" s="104">
        <v>14738876</v>
      </c>
      <c r="I13" s="104">
        <v>34647923</v>
      </c>
      <c r="J13" s="104">
        <v>24738068</v>
      </c>
      <c r="K13" s="104">
        <v>24648731</v>
      </c>
      <c r="L13" s="105">
        <v>304</v>
      </c>
      <c r="M13" s="105">
        <v>67.4</v>
      </c>
      <c r="N13" s="105">
        <v>-9</v>
      </c>
      <c r="O13" s="105">
        <v>0.649</v>
      </c>
      <c r="P13" s="103" t="s">
        <v>43</v>
      </c>
    </row>
    <row r="14" ht="15" customHeight="1" spans="1:17">
      <c r="A14" s="98" t="s">
        <v>44</v>
      </c>
      <c r="B14" s="99" t="s">
        <v>36</v>
      </c>
      <c r="C14" s="99" t="s">
        <v>20</v>
      </c>
      <c r="D14" s="100">
        <v>112077</v>
      </c>
      <c r="E14" s="100">
        <v>0</v>
      </c>
      <c r="F14" s="100">
        <v>35003674</v>
      </c>
      <c r="G14" s="100">
        <v>39000000</v>
      </c>
      <c r="H14" s="100">
        <v>15694768</v>
      </c>
      <c r="I14" s="100">
        <v>19308906</v>
      </c>
      <c r="J14" s="100">
        <v>17613412</v>
      </c>
      <c r="K14" s="100">
        <v>17390262</v>
      </c>
      <c r="L14" s="101">
        <v>312</v>
      </c>
      <c r="M14" s="101">
        <v>66.5</v>
      </c>
      <c r="N14" s="101">
        <v>0</v>
      </c>
      <c r="O14" s="101">
        <v>0.659</v>
      </c>
      <c r="P14" s="99" t="s">
        <v>45</v>
      </c>
    </row>
    <row r="15" ht="15" customHeight="1" spans="1:17">
      <c r="A15" s="102" t="s">
        <v>46</v>
      </c>
      <c r="B15" s="103" t="s">
        <v>26</v>
      </c>
      <c r="C15" s="103" t="s">
        <v>20</v>
      </c>
      <c r="D15" s="104">
        <v>155707</v>
      </c>
      <c r="E15" s="104">
        <v>36804660</v>
      </c>
      <c r="F15" s="104">
        <v>41974218</v>
      </c>
      <c r="G15" s="104">
        <v>46000000</v>
      </c>
      <c r="H15" s="104">
        <v>6993745</v>
      </c>
      <c r="I15" s="104">
        <v>34980473</v>
      </c>
      <c r="J15" s="104">
        <v>21212136</v>
      </c>
      <c r="K15" s="104">
        <v>20761862</v>
      </c>
      <c r="L15" s="105">
        <v>270</v>
      </c>
      <c r="M15" s="105">
        <v>72.9</v>
      </c>
      <c r="N15" s="105">
        <v>14</v>
      </c>
      <c r="O15" s="105">
        <v>0.606</v>
      </c>
      <c r="P15" s="103" t="s">
        <v>47</v>
      </c>
    </row>
    <row r="16" ht="15" customHeight="1" spans="1:17">
      <c r="A16" s="98" t="s">
        <v>48</v>
      </c>
      <c r="B16" s="99" t="s">
        <v>36</v>
      </c>
      <c r="C16" s="99" t="s">
        <v>20</v>
      </c>
      <c r="D16" s="100">
        <v>38852</v>
      </c>
      <c r="E16" s="100">
        <v>31841374</v>
      </c>
      <c r="F16" s="100">
        <v>33406061</v>
      </c>
      <c r="G16" s="100">
        <v>35000000</v>
      </c>
      <c r="H16" s="100">
        <v>15932171</v>
      </c>
      <c r="I16" s="100">
        <v>17473890</v>
      </c>
      <c r="J16" s="100">
        <v>16021290</v>
      </c>
      <c r="K16" s="100">
        <v>17384771</v>
      </c>
      <c r="L16" s="101">
        <v>860</v>
      </c>
      <c r="M16" s="101">
        <v>94</v>
      </c>
      <c r="N16" s="101">
        <v>4.9</v>
      </c>
      <c r="O16" s="101">
        <v>0.782</v>
      </c>
      <c r="P16" s="99" t="s">
        <v>49</v>
      </c>
    </row>
    <row r="17" ht="15" customHeight="1" spans="1:16">
      <c r="A17" s="102" t="s">
        <v>50</v>
      </c>
      <c r="B17" s="103" t="s">
        <v>26</v>
      </c>
      <c r="C17" s="103" t="s">
        <v>20</v>
      </c>
      <c r="D17" s="104">
        <v>79716</v>
      </c>
      <c r="E17" s="104">
        <v>26945829</v>
      </c>
      <c r="F17" s="104">
        <v>32988134</v>
      </c>
      <c r="G17" s="104">
        <v>37000000</v>
      </c>
      <c r="H17" s="104">
        <v>7959007</v>
      </c>
      <c r="I17" s="104">
        <v>25029127</v>
      </c>
      <c r="J17" s="104">
        <v>16930315</v>
      </c>
      <c r="K17" s="104">
        <v>16057819</v>
      </c>
      <c r="L17" s="105">
        <v>414</v>
      </c>
      <c r="M17" s="105">
        <v>67.6</v>
      </c>
      <c r="N17" s="105">
        <v>22.4</v>
      </c>
      <c r="O17" s="105">
        <v>0.599</v>
      </c>
      <c r="P17" s="103" t="s">
        <v>51</v>
      </c>
    </row>
    <row r="18" ht="15" customHeight="1" spans="1:16">
      <c r="A18" s="98" t="s">
        <v>52</v>
      </c>
      <c r="B18" s="99" t="s">
        <v>53</v>
      </c>
      <c r="C18" s="99" t="s">
        <v>20</v>
      </c>
      <c r="D18" s="100">
        <v>78438</v>
      </c>
      <c r="E18" s="100">
        <v>26655528</v>
      </c>
      <c r="F18" s="100">
        <v>31205576</v>
      </c>
      <c r="G18" s="100">
        <v>35000000</v>
      </c>
      <c r="H18" s="100">
        <v>4394283</v>
      </c>
      <c r="I18" s="100">
        <v>26811293</v>
      </c>
      <c r="J18" s="100">
        <v>15939443</v>
      </c>
      <c r="K18" s="100">
        <v>15266033</v>
      </c>
      <c r="L18" s="101">
        <v>398</v>
      </c>
      <c r="M18" s="101">
        <v>73.2</v>
      </c>
      <c r="N18" s="101">
        <v>17.1</v>
      </c>
      <c r="O18" s="101">
        <v>0.614</v>
      </c>
      <c r="P18" s="99" t="s">
        <v>54</v>
      </c>
    </row>
    <row r="19" ht="15" customHeight="1" spans="1:16">
      <c r="A19" s="102" t="s">
        <v>55</v>
      </c>
      <c r="B19" s="103" t="s">
        <v>19</v>
      </c>
      <c r="C19" s="103" t="s">
        <v>20</v>
      </c>
      <c r="D19" s="104">
        <v>50362</v>
      </c>
      <c r="E19" s="104">
        <v>24358999</v>
      </c>
      <c r="F19" s="104">
        <v>27743338</v>
      </c>
      <c r="G19" s="104">
        <v>30000000</v>
      </c>
      <c r="H19" s="104">
        <v>10399146</v>
      </c>
      <c r="I19" s="104">
        <v>17344192</v>
      </c>
      <c r="J19" s="104">
        <v>14634819</v>
      </c>
      <c r="K19" s="104">
        <v>13108519</v>
      </c>
      <c r="L19" s="105">
        <v>551</v>
      </c>
      <c r="M19" s="105">
        <v>76.7</v>
      </c>
      <c r="N19" s="105">
        <v>13.9</v>
      </c>
      <c r="O19" s="105">
        <v>0.679</v>
      </c>
      <c r="P19" s="103" t="s">
        <v>56</v>
      </c>
    </row>
    <row r="20" ht="15" customHeight="1" spans="1:16">
      <c r="A20" s="98" t="s">
        <v>57</v>
      </c>
      <c r="B20" s="99" t="s">
        <v>19</v>
      </c>
      <c r="C20" s="99" t="s">
        <v>20</v>
      </c>
      <c r="D20" s="100">
        <v>44212</v>
      </c>
      <c r="E20" s="100">
        <v>21144564</v>
      </c>
      <c r="F20" s="100">
        <v>25351462</v>
      </c>
      <c r="G20" s="100">
        <v>28000000</v>
      </c>
      <c r="H20" s="100">
        <v>8821588</v>
      </c>
      <c r="I20" s="100">
        <v>16529874</v>
      </c>
      <c r="J20" s="100">
        <v>13494734</v>
      </c>
      <c r="K20" s="100">
        <v>11856728</v>
      </c>
      <c r="L20" s="101">
        <v>573</v>
      </c>
      <c r="M20" s="101">
        <v>76.6</v>
      </c>
      <c r="N20" s="101">
        <v>19.9</v>
      </c>
      <c r="O20" s="101">
        <v>0.708</v>
      </c>
      <c r="P20" s="99" t="s">
        <v>56</v>
      </c>
    </row>
    <row r="21" ht="15" customHeight="1" spans="1:16">
      <c r="A21" s="102" t="s">
        <v>58</v>
      </c>
      <c r="B21" s="103" t="s">
        <v>31</v>
      </c>
      <c r="C21" s="103" t="s">
        <v>20</v>
      </c>
      <c r="D21" s="104">
        <v>135192</v>
      </c>
      <c r="E21" s="104">
        <v>20833803</v>
      </c>
      <c r="F21" s="104">
        <v>25545198</v>
      </c>
      <c r="G21" s="104">
        <v>29000000</v>
      </c>
      <c r="H21" s="104">
        <v>5938362</v>
      </c>
      <c r="I21" s="104">
        <v>19606836</v>
      </c>
      <c r="J21" s="104">
        <v>12832895</v>
      </c>
      <c r="K21" s="104">
        <v>12712303</v>
      </c>
      <c r="L21" s="105">
        <v>189</v>
      </c>
      <c r="M21" s="105">
        <v>71</v>
      </c>
      <c r="N21" s="105">
        <v>22.6</v>
      </c>
      <c r="O21" s="105">
        <v>0.613</v>
      </c>
      <c r="P21" s="103" t="s">
        <v>59</v>
      </c>
    </row>
    <row r="22" ht="15" customHeight="1" spans="1:16">
      <c r="A22" s="98" t="s">
        <v>60</v>
      </c>
      <c r="B22" s="99" t="s">
        <v>19</v>
      </c>
      <c r="C22" s="99" t="s">
        <v>20</v>
      </c>
      <c r="D22" s="100">
        <v>53483</v>
      </c>
      <c r="E22" s="100">
        <v>8489349</v>
      </c>
      <c r="F22" s="100">
        <v>10086292</v>
      </c>
      <c r="G22" s="100">
        <v>11500000</v>
      </c>
      <c r="H22" s="100">
        <v>3049338</v>
      </c>
      <c r="I22" s="100">
        <v>7036954</v>
      </c>
      <c r="J22" s="100">
        <v>5137773</v>
      </c>
      <c r="K22" s="100">
        <v>4948519</v>
      </c>
      <c r="L22" s="101">
        <v>189</v>
      </c>
      <c r="M22" s="101">
        <v>79.6</v>
      </c>
      <c r="N22" s="101">
        <v>19.2</v>
      </c>
      <c r="O22" s="101">
        <v>0.684</v>
      </c>
      <c r="P22" s="99" t="s">
        <v>61</v>
      </c>
    </row>
    <row r="23" ht="15" customHeight="1" spans="1:16">
      <c r="A23" s="102" t="s">
        <v>62</v>
      </c>
      <c r="B23" s="103" t="s">
        <v>19</v>
      </c>
      <c r="C23" s="103" t="s">
        <v>20</v>
      </c>
      <c r="D23" s="104">
        <v>55673</v>
      </c>
      <c r="E23" s="104">
        <v>6077900</v>
      </c>
      <c r="F23" s="104">
        <v>6864602</v>
      </c>
      <c r="G23" s="104">
        <v>7500000</v>
      </c>
      <c r="H23" s="104">
        <v>688801</v>
      </c>
      <c r="I23" s="104">
        <v>6175801</v>
      </c>
      <c r="J23" s="104">
        <v>3481873</v>
      </c>
      <c r="K23" s="104">
        <v>3382729</v>
      </c>
      <c r="L23" s="105">
        <v>123</v>
      </c>
      <c r="M23" s="105">
        <v>83.8</v>
      </c>
      <c r="N23" s="105">
        <v>12.9</v>
      </c>
      <c r="O23" s="105">
        <v>0.652</v>
      </c>
      <c r="P23" s="103" t="s">
        <v>63</v>
      </c>
    </row>
    <row r="24" ht="15" customHeight="1" spans="1:16">
      <c r="A24" s="98" t="s">
        <v>64</v>
      </c>
      <c r="B24" s="99" t="s">
        <v>53</v>
      </c>
      <c r="C24" s="99" t="s">
        <v>20</v>
      </c>
      <c r="D24" s="100">
        <v>10486</v>
      </c>
      <c r="E24" s="100">
        <v>3199203</v>
      </c>
      <c r="F24" s="100">
        <v>3673917</v>
      </c>
      <c r="G24" s="100">
        <v>4100000</v>
      </c>
      <c r="H24" s="100">
        <v>962775</v>
      </c>
      <c r="I24" s="100">
        <v>2711142</v>
      </c>
      <c r="J24" s="100">
        <v>1874376</v>
      </c>
      <c r="K24" s="100">
        <v>1799541</v>
      </c>
      <c r="L24" s="101">
        <v>350</v>
      </c>
      <c r="M24" s="101">
        <v>87.8</v>
      </c>
      <c r="N24" s="101">
        <v>14.8</v>
      </c>
      <c r="O24" s="101">
        <v>0.658</v>
      </c>
      <c r="P24" s="99" t="s">
        <v>65</v>
      </c>
    </row>
    <row r="25" ht="15" customHeight="1" spans="1:16">
      <c r="A25" s="102" t="s">
        <v>66</v>
      </c>
      <c r="B25" s="103" t="s">
        <v>53</v>
      </c>
      <c r="C25" s="103" t="s">
        <v>20</v>
      </c>
      <c r="D25" s="104">
        <v>22429</v>
      </c>
      <c r="E25" s="104">
        <v>2318822</v>
      </c>
      <c r="F25" s="104">
        <v>2966889</v>
      </c>
      <c r="G25" s="104">
        <v>3400000</v>
      </c>
      <c r="H25" s="104">
        <v>595036</v>
      </c>
      <c r="I25" s="104">
        <v>2371853</v>
      </c>
      <c r="J25" s="104">
        <v>1491832</v>
      </c>
      <c r="K25" s="104">
        <v>1475057</v>
      </c>
      <c r="L25" s="105">
        <v>132</v>
      </c>
      <c r="M25" s="105">
        <v>75.5</v>
      </c>
      <c r="N25" s="105">
        <v>27.9</v>
      </c>
      <c r="O25" s="105">
        <v>0.656</v>
      </c>
      <c r="P25" s="103" t="s">
        <v>67</v>
      </c>
    </row>
    <row r="26" ht="15" customHeight="1" spans="1:16">
      <c r="A26" s="98" t="s">
        <v>68</v>
      </c>
      <c r="B26" s="99" t="s">
        <v>53</v>
      </c>
      <c r="C26" s="99" t="s">
        <v>20</v>
      </c>
      <c r="D26" s="100">
        <v>22327</v>
      </c>
      <c r="E26" s="100">
        <v>2166788</v>
      </c>
      <c r="F26" s="100">
        <v>2855794</v>
      </c>
      <c r="G26" s="100">
        <v>3200000</v>
      </c>
      <c r="H26" s="100">
        <v>823655</v>
      </c>
      <c r="I26" s="100">
        <v>2032139</v>
      </c>
      <c r="J26" s="100">
        <v>1438509</v>
      </c>
      <c r="K26" s="100">
        <v>1417285</v>
      </c>
      <c r="L26" s="101">
        <v>128</v>
      </c>
      <c r="M26" s="101">
        <v>76.9</v>
      </c>
      <c r="N26" s="101">
        <v>31.8</v>
      </c>
      <c r="O26" s="101">
        <v>0.655</v>
      </c>
      <c r="P26" s="99" t="s">
        <v>69</v>
      </c>
    </row>
    <row r="27" ht="15" customHeight="1" spans="1:16">
      <c r="A27" s="102" t="s">
        <v>70</v>
      </c>
      <c r="B27" s="103" t="s">
        <v>53</v>
      </c>
      <c r="C27" s="103" t="s">
        <v>20</v>
      </c>
      <c r="D27" s="104">
        <v>16579</v>
      </c>
      <c r="E27" s="104">
        <v>1990036</v>
      </c>
      <c r="F27" s="104">
        <v>1978502</v>
      </c>
      <c r="G27" s="104">
        <v>2100000</v>
      </c>
      <c r="H27" s="104">
        <v>570966</v>
      </c>
      <c r="I27" s="104">
        <v>1407536</v>
      </c>
      <c r="J27" s="104">
        <v>1025707</v>
      </c>
      <c r="K27" s="104">
        <v>952795</v>
      </c>
      <c r="L27" s="105">
        <v>119</v>
      </c>
      <c r="M27" s="105">
        <v>80.1</v>
      </c>
      <c r="N27" s="105">
        <v>-0.6</v>
      </c>
      <c r="O27" s="105">
        <v>0.613</v>
      </c>
      <c r="P27" s="103" t="s">
        <v>71</v>
      </c>
    </row>
    <row r="28" ht="15" customHeight="1" spans="1:16">
      <c r="A28" s="98" t="s">
        <v>72</v>
      </c>
      <c r="B28" s="99" t="s">
        <v>23</v>
      </c>
      <c r="C28" s="99" t="s">
        <v>20</v>
      </c>
      <c r="D28" s="100">
        <v>3702</v>
      </c>
      <c r="E28" s="100">
        <v>1347668</v>
      </c>
      <c r="F28" s="100">
        <v>1458545</v>
      </c>
      <c r="G28" s="100">
        <v>1600000</v>
      </c>
      <c r="H28" s="100">
        <v>876821</v>
      </c>
      <c r="I28" s="100">
        <v>581724</v>
      </c>
      <c r="J28" s="100">
        <v>739140</v>
      </c>
      <c r="K28" s="100">
        <v>719405</v>
      </c>
      <c r="L28" s="101">
        <v>394</v>
      </c>
      <c r="M28" s="101">
        <v>88.7</v>
      </c>
      <c r="N28" s="101">
        <v>8.2</v>
      </c>
      <c r="O28" s="101">
        <v>0.761</v>
      </c>
      <c r="P28" s="99" t="s">
        <v>73</v>
      </c>
    </row>
    <row r="29" ht="15" customHeight="1" spans="1:16">
      <c r="A29" s="102" t="s">
        <v>74</v>
      </c>
      <c r="B29" s="103" t="s">
        <v>53</v>
      </c>
      <c r="C29" s="103" t="s">
        <v>20</v>
      </c>
      <c r="D29" s="104">
        <v>83743</v>
      </c>
      <c r="E29" s="104">
        <v>1097968</v>
      </c>
      <c r="F29" s="104">
        <v>1383727</v>
      </c>
      <c r="G29" s="104">
        <v>1600000</v>
      </c>
      <c r="H29" s="104">
        <v>310113</v>
      </c>
      <c r="I29" s="104">
        <v>1073614</v>
      </c>
      <c r="J29" s="104">
        <v>713912</v>
      </c>
      <c r="K29" s="104">
        <v>669815</v>
      </c>
      <c r="L29" s="105">
        <v>17</v>
      </c>
      <c r="M29" s="105">
        <v>66.9</v>
      </c>
      <c r="N29" s="105">
        <v>26</v>
      </c>
      <c r="O29" s="105">
        <v>0.614</v>
      </c>
      <c r="P29" s="103" t="s">
        <v>75</v>
      </c>
    </row>
    <row r="30" ht="15" customHeight="1" spans="1:16">
      <c r="A30" s="98" t="s">
        <v>76</v>
      </c>
      <c r="B30" s="99" t="s">
        <v>53</v>
      </c>
      <c r="C30" s="99" t="s">
        <v>20</v>
      </c>
      <c r="D30" s="100">
        <v>21081</v>
      </c>
      <c r="E30" s="100">
        <v>888573</v>
      </c>
      <c r="F30" s="100">
        <v>1097206</v>
      </c>
      <c r="G30" s="100">
        <v>1250000</v>
      </c>
      <c r="H30" s="100">
        <v>571771</v>
      </c>
      <c r="I30" s="100">
        <v>525435</v>
      </c>
      <c r="J30" s="100">
        <v>555339</v>
      </c>
      <c r="K30" s="100">
        <v>541867</v>
      </c>
      <c r="L30" s="101">
        <v>52</v>
      </c>
      <c r="M30" s="101">
        <v>91.6</v>
      </c>
      <c r="N30" s="101">
        <v>23.5</v>
      </c>
      <c r="O30" s="101">
        <v>0.7</v>
      </c>
      <c r="P30" s="99" t="s">
        <v>77</v>
      </c>
    </row>
    <row r="31" ht="15" customHeight="1" spans="1:16">
      <c r="A31" s="102" t="s">
        <v>78</v>
      </c>
      <c r="B31" s="103" t="s">
        <v>53</v>
      </c>
      <c r="C31" s="103" t="s">
        <v>20</v>
      </c>
      <c r="D31" s="104">
        <v>7096</v>
      </c>
      <c r="E31" s="104">
        <v>540851</v>
      </c>
      <c r="F31" s="104">
        <v>610577</v>
      </c>
      <c r="G31" s="104">
        <v>700000</v>
      </c>
      <c r="H31" s="104">
        <v>153578</v>
      </c>
      <c r="I31" s="104">
        <v>456999</v>
      </c>
      <c r="J31" s="104">
        <v>321661</v>
      </c>
      <c r="K31" s="104">
        <v>288916</v>
      </c>
      <c r="L31" s="105">
        <v>86</v>
      </c>
      <c r="M31" s="105">
        <v>82.2</v>
      </c>
      <c r="N31" s="105">
        <v>12.9</v>
      </c>
      <c r="O31" s="105">
        <v>0.717</v>
      </c>
      <c r="P31" s="103" t="s">
        <v>79</v>
      </c>
    </row>
    <row r="32" ht="15" customHeight="1" spans="1:16">
      <c r="A32" s="106" t="s">
        <v>80</v>
      </c>
      <c r="B32" s="107" t="s">
        <v>19</v>
      </c>
      <c r="C32" s="107" t="s">
        <v>81</v>
      </c>
      <c r="D32" s="108">
        <v>1484</v>
      </c>
      <c r="E32" s="108">
        <v>13850507</v>
      </c>
      <c r="F32" s="108">
        <v>16787941</v>
      </c>
      <c r="G32" s="108">
        <v>20000000</v>
      </c>
      <c r="H32" s="108">
        <v>16349831</v>
      </c>
      <c r="I32" s="108">
        <v>438110</v>
      </c>
      <c r="J32" s="108">
        <v>8987326</v>
      </c>
      <c r="K32" s="108">
        <v>7800615</v>
      </c>
      <c r="L32" s="109">
        <v>11320</v>
      </c>
      <c r="M32" s="109">
        <v>86.3</v>
      </c>
      <c r="N32" s="109">
        <v>21.2</v>
      </c>
      <c r="O32" s="109">
        <v>0.746</v>
      </c>
      <c r="P32" s="107" t="s">
        <v>82</v>
      </c>
    </row>
    <row r="33" ht="15" customHeight="1" spans="1:17">
      <c r="A33" s="106" t="s">
        <v>83</v>
      </c>
      <c r="B33" s="107" t="s">
        <v>19</v>
      </c>
      <c r="C33" s="107" t="s">
        <v>81</v>
      </c>
      <c r="D33" s="108">
        <v>42241</v>
      </c>
      <c r="E33" s="108">
        <v>10143700</v>
      </c>
      <c r="F33" s="108">
        <v>12541302</v>
      </c>
      <c r="G33" s="108">
        <v>14000000</v>
      </c>
      <c r="H33" s="108">
        <v>3433242</v>
      </c>
      <c r="I33" s="108">
        <v>9108060</v>
      </c>
      <c r="J33" s="108">
        <v>6640662</v>
      </c>
      <c r="K33" s="108">
        <v>5900640</v>
      </c>
      <c r="L33" s="109">
        <v>297</v>
      </c>
      <c r="M33" s="109">
        <v>68.7</v>
      </c>
      <c r="N33" s="109">
        <v>23.6</v>
      </c>
      <c r="O33" s="109">
        <v>0.688</v>
      </c>
      <c r="P33" s="107" t="s">
        <v>84</v>
      </c>
    </row>
    <row r="34" ht="15" customHeight="1" spans="1:17">
      <c r="A34" s="106" t="s">
        <v>85</v>
      </c>
      <c r="B34" s="107" t="s">
        <v>36</v>
      </c>
      <c r="C34" s="107" t="s">
        <v>81</v>
      </c>
      <c r="D34" s="108">
        <v>479</v>
      </c>
      <c r="E34" s="108">
        <v>974345</v>
      </c>
      <c r="F34" s="108">
        <v>1247953</v>
      </c>
      <c r="G34" s="108">
        <v>1400000</v>
      </c>
      <c r="H34" s="108">
        <v>850123</v>
      </c>
      <c r="I34" s="108">
        <v>397830</v>
      </c>
      <c r="J34" s="108">
        <v>612511</v>
      </c>
      <c r="K34" s="108">
        <v>635442</v>
      </c>
      <c r="L34" s="109">
        <v>2598</v>
      </c>
      <c r="M34" s="109">
        <v>86.6</v>
      </c>
      <c r="N34" s="109">
        <v>28.1</v>
      </c>
      <c r="O34" s="109">
        <v>0.739</v>
      </c>
      <c r="P34" s="107" t="s">
        <v>85</v>
      </c>
    </row>
    <row r="35" ht="15" customHeight="1" spans="1:17">
      <c r="A35" s="106" t="s">
        <v>56</v>
      </c>
      <c r="B35" s="107" t="s">
        <v>19</v>
      </c>
      <c r="C35" s="107" t="s">
        <v>81</v>
      </c>
      <c r="D35" s="108">
        <v>114</v>
      </c>
      <c r="E35" s="108">
        <v>900914</v>
      </c>
      <c r="F35" s="108">
        <v>1055450</v>
      </c>
      <c r="G35" s="108">
        <v>1200000</v>
      </c>
      <c r="H35" s="108">
        <v>1025682</v>
      </c>
      <c r="I35" s="108">
        <v>29768</v>
      </c>
      <c r="J35" s="108">
        <v>580663</v>
      </c>
      <c r="K35" s="108">
        <v>474787</v>
      </c>
      <c r="L35" s="109">
        <v>9258</v>
      </c>
      <c r="M35" s="109">
        <v>86.4</v>
      </c>
      <c r="N35" s="109">
        <v>17.2</v>
      </c>
      <c r="O35" s="109">
        <v>0.772</v>
      </c>
      <c r="P35" s="107" t="s">
        <v>56</v>
      </c>
    </row>
    <row r="36" ht="15" customHeight="1" spans="1:17">
      <c r="A36" s="106" t="s">
        <v>86</v>
      </c>
      <c r="B36" s="107" t="s">
        <v>23</v>
      </c>
      <c r="C36" s="107" t="s">
        <v>81</v>
      </c>
      <c r="D36" s="108">
        <v>603</v>
      </c>
      <c r="E36" s="108">
        <v>220490</v>
      </c>
      <c r="F36" s="108">
        <v>586956</v>
      </c>
      <c r="G36" s="108">
        <v>750000</v>
      </c>
      <c r="H36" s="108">
        <v>193978</v>
      </c>
      <c r="I36" s="108">
        <v>392978</v>
      </c>
      <c r="J36" s="108">
        <v>344031</v>
      </c>
      <c r="K36" s="108">
        <v>242925</v>
      </c>
      <c r="L36" s="109">
        <v>698</v>
      </c>
      <c r="M36" s="109">
        <v>77.7</v>
      </c>
      <c r="N36" s="109">
        <v>166.2</v>
      </c>
      <c r="O36" s="109">
        <v>0.6</v>
      </c>
      <c r="P36" s="107" t="s">
        <v>87</v>
      </c>
    </row>
    <row r="37" ht="15" customHeight="1" spans="1:17">
      <c r="A37" s="106" t="s">
        <v>88</v>
      </c>
      <c r="B37" s="107" t="s">
        <v>26</v>
      </c>
      <c r="C37" s="107" t="s">
        <v>81</v>
      </c>
      <c r="D37" s="108">
        <v>8249</v>
      </c>
      <c r="E37" s="108">
        <v>356152</v>
      </c>
      <c r="F37" s="108">
        <v>380581</v>
      </c>
      <c r="G37" s="108">
        <v>420000</v>
      </c>
      <c r="H37" s="108">
        <v>143488</v>
      </c>
      <c r="I37" s="108">
        <v>237093</v>
      </c>
      <c r="J37" s="108">
        <v>202871</v>
      </c>
      <c r="K37" s="108">
        <v>177710</v>
      </c>
      <c r="L37" s="109">
        <v>46</v>
      </c>
      <c r="M37" s="109">
        <v>86.3</v>
      </c>
      <c r="N37" s="109">
        <v>6.9</v>
      </c>
      <c r="O37" s="109">
        <v>0.697</v>
      </c>
      <c r="P37" s="107" t="s">
        <v>89</v>
      </c>
    </row>
    <row r="38" ht="15" customHeight="1" spans="1:17">
      <c r="A38" s="106" t="s">
        <v>90</v>
      </c>
      <c r="B38" s="107" t="s">
        <v>36</v>
      </c>
      <c r="C38" s="107" t="s">
        <v>81</v>
      </c>
      <c r="D38" s="108">
        <v>32</v>
      </c>
      <c r="E38" s="108">
        <v>60650</v>
      </c>
      <c r="F38" s="108">
        <v>64473</v>
      </c>
      <c r="G38" s="108">
        <v>70000</v>
      </c>
      <c r="H38" s="108">
        <v>50332</v>
      </c>
      <c r="I38" s="108">
        <v>14141</v>
      </c>
      <c r="J38" s="108">
        <v>33123</v>
      </c>
      <c r="K38" s="108">
        <v>31350</v>
      </c>
      <c r="L38" s="109">
        <v>2013</v>
      </c>
      <c r="M38" s="109">
        <v>92.3</v>
      </c>
      <c r="N38" s="109">
        <v>6.3</v>
      </c>
      <c r="O38" s="109">
        <v>0.677</v>
      </c>
      <c r="P38" s="107" t="s">
        <v>91</v>
      </c>
    </row>
    <row r="39" ht="15" customHeight="1" spans="1:17">
      <c r="A39" s="106" t="s">
        <v>92</v>
      </c>
      <c r="B39" s="107" t="s">
        <v>19</v>
      </c>
      <c r="C39" s="107" t="s">
        <v>81</v>
      </c>
      <c r="D39" s="108">
        <v>59146</v>
      </c>
      <c r="E39" s="108">
        <v>0</v>
      </c>
      <c r="F39" s="108">
        <v>274289</v>
      </c>
      <c r="G39" s="108">
        <v>325000</v>
      </c>
      <c r="H39" s="108">
        <v>37924</v>
      </c>
      <c r="I39" s="108">
        <v>236365</v>
      </c>
      <c r="J39" s="108">
        <v>147950</v>
      </c>
      <c r="K39" s="108">
        <v>126339</v>
      </c>
      <c r="L39" s="109">
        <v>5</v>
      </c>
      <c r="M39" s="109">
        <v>77.2</v>
      </c>
      <c r="N39" s="109">
        <v>0</v>
      </c>
      <c r="O39" s="109">
        <v>0.618</v>
      </c>
      <c r="P39" s="107" t="s">
        <v>93</v>
      </c>
    </row>
    <row r="41" ht="15" customHeight="1" spans="1:17">
      <c r="A41" s="110" t="s">
        <v>94</v>
      </c>
      <c r="B41" s="110"/>
      <c r="C41" s="110"/>
      <c r="D41" s="110"/>
      <c r="E41" s="110"/>
      <c r="F41" s="110"/>
      <c r="G41" s="110"/>
      <c r="H41" s="110"/>
      <c r="I41" s="110"/>
      <c r="J41" s="110"/>
      <c r="K41" s="110"/>
      <c r="L41" s="110"/>
      <c r="M41" s="110"/>
      <c r="N41" s="110"/>
      <c r="O41" s="110"/>
      <c r="P41" s="110"/>
      <c r="Q41" s="110"/>
    </row>
  </sheetData>
  <mergeCells count="3">
    <mergeCell ref="A1:Q1"/>
    <mergeCell ref="A2:Q2"/>
    <mergeCell ref="A41:Q41"/>
  </mergeCells>
  <conditionalFormatting sqref="G4:G39">
    <cfRule type="colorScale" priority="5">
      <colorScale>
        <cfvo type="min"/>
        <cfvo type="max"/>
        <color rgb="FFFFFFFF"/>
        <color rgb="FFFF9933"/>
      </colorScale>
    </cfRule>
  </conditionalFormatting>
  <conditionalFormatting sqref="L4:L39">
    <cfRule type="dataBar" priority="3">
      <dataBar>
        <cfvo type="min"/>
        <cfvo type="max"/>
        <color rgb="FFFF9933"/>
      </dataBar>
      <extLst>
        <ext xmlns:x14="http://schemas.microsoft.com/office/spreadsheetml/2009/9/main" uri="{B025F937-C7B1-47D3-B67F-A62EFF666E3E}">
          <x14:id>{77775a06-746e-4816-bf49-d08e282b7fdd}</x14:id>
        </ext>
      </extLst>
    </cfRule>
  </conditionalFormatting>
  <conditionalFormatting sqref="M4:M39">
    <cfRule type="colorScale" priority="4">
      <colorScale>
        <cfvo type="min"/>
        <cfvo type="percentile" val="50"/>
        <cfvo type="max"/>
        <color rgb="FFFFC7CE"/>
        <color rgb="FFFFEB9C"/>
        <color rgb="FFC6EFCE"/>
      </colorScale>
    </cfRule>
  </conditionalFormatting>
  <conditionalFormatting sqref="N4:N39">
    <cfRule type="colorScale" priority="2">
      <colorScale>
        <cfvo type="min"/>
        <cfvo type="num" val="15"/>
        <cfvo type="max"/>
        <color rgb="FFFF4444"/>
        <color rgb="FFFFFF00"/>
        <color rgb="FF44BB44"/>
      </colorScale>
    </cfRule>
  </conditionalFormatting>
  <dataValidations count="3">
    <dataValidation type="list" prompt="Select region of India" sqref="B4:B39">
      <formula1>"North,South,East,West,Central,Northeast"</formula1>
    </dataValidation>
    <dataValidation type="list" errorTitle="Invalid Category" error="Must be State or UT" sqref="C4:C39">
      <formula1>"State,UT"</formula1>
    </dataValidation>
    <dataValidation type="decimal" operator="between" error="HDI must be between 0 and 1" sqref="O4:O39">
      <formula1>0</formula1>
      <formula2>1</formula2>
    </dataValidation>
  </dataValidations>
  <pageMargins left="0.75" right="0.75" top="1" bottom="1" header="0.511811023622047" footer="0.511811023622047"/>
  <pageSetup paperSize="9" orientation="portrait" horizontalDpi="300" verticalDpi="300"/>
  <headerFooter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77775a06-746e-4816-bf49-d08e282b7fdd}">
            <x14:dataBar minLength="10" maxLength="90" axisPosition="none">
              <x14:cfvo type="min"/>
              <x14:cfvo type="max"/>
              <x14:negativeFillColor rgb="FFFF9933"/>
              <x14:axisColor indexed="65"/>
            </x14:dataBar>
          </x14:cfRule>
          <xm:sqref>L4:L39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00796B"/>
  </sheetPr>
  <dimension ref="A1:J38"/>
  <sheetViews>
    <sheetView showGridLines="0" workbookViewId="0">
      <selection activeCell="A1" sqref="A1:J1"/>
    </sheetView>
  </sheetViews>
  <sheetFormatPr defaultColWidth="8.67592592592593" defaultRowHeight="14.4"/>
  <cols>
    <col min="1" max="1" width="22" style="1" customWidth="1"/>
    <col min="2" max="3" width="10" style="1" customWidth="1"/>
    <col min="4" max="4" width="20" style="1" customWidth="1"/>
    <col min="5" max="5" width="18" style="1" customWidth="1"/>
    <col min="6" max="7" width="16" style="1" customWidth="1"/>
    <col min="8" max="8" width="18" style="1" customWidth="1"/>
    <col min="9" max="9" width="14" style="1" customWidth="1"/>
    <col min="10" max="10" width="18" style="1" customWidth="1"/>
  </cols>
  <sheetData>
    <row r="1" ht="37.5" customHeight="1" spans="1:10">
      <c r="A1" s="65" t="s">
        <v>95</v>
      </c>
      <c r="B1" s="65"/>
      <c r="C1" s="65"/>
      <c r="D1" s="65"/>
      <c r="E1" s="65"/>
      <c r="F1" s="65"/>
      <c r="G1" s="65"/>
      <c r="H1" s="65"/>
      <c r="I1" s="65"/>
      <c r="J1" s="65"/>
    </row>
    <row r="2" ht="15" customHeight="1" spans="1:10">
      <c r="A2" s="75" t="s">
        <v>96</v>
      </c>
      <c r="B2" s="75" t="s">
        <v>3</v>
      </c>
      <c r="C2" s="75" t="s">
        <v>4</v>
      </c>
      <c r="D2" s="75" t="s">
        <v>97</v>
      </c>
      <c r="E2" s="75" t="s">
        <v>98</v>
      </c>
      <c r="F2" s="75" t="s">
        <v>99</v>
      </c>
      <c r="G2" s="75" t="s">
        <v>100</v>
      </c>
      <c r="H2" s="75" t="s">
        <v>101</v>
      </c>
      <c r="I2" s="75" t="s">
        <v>102</v>
      </c>
      <c r="J2" s="75" t="s">
        <v>103</v>
      </c>
    </row>
    <row r="3" ht="15" customHeight="1" spans="1:10">
      <c r="A3" s="95" t="str">
        <f>Raw_Data!A4</f>
        <v>Uttar Pradesh</v>
      </c>
      <c r="B3" s="95" t="str">
        <f>Raw_Data!B4</f>
        <v>North</v>
      </c>
      <c r="C3" s="95" t="str">
        <f>Raw_Data!C4</f>
        <v>State</v>
      </c>
      <c r="D3" s="61" t="str">
        <f>IF(AND(Raw_Data!H4&gt;0,Raw_Data!I4&gt;0),IF(ABS((Raw_Data!H4+Raw_Data!I4)-Raw_Data!F4)&lt;1000,"✅ Match","⚠ Mismatch"),"➖ N/A")</f>
        <v>✅ Match</v>
      </c>
      <c r="E3" s="61" t="str">
        <f>IF(AND(Raw_Data!J4&gt;0,Raw_Data!K4&gt;0),IF(ABS((Raw_Data!J4+Raw_Data!K4)-Raw_Data!F4)&lt;5000,"✅ Match","⚠ Mismatch"),"➖ N/A")</f>
        <v>✅ Match</v>
      </c>
      <c r="F3" s="61" t="str">
        <f>IF(AND(Raw_Data!L4&gt;0,Raw_Data!D4&gt;0),IF(ABS(Raw_Data!F4/Raw_Data!D4-Raw_Data!L4)&lt;50,"✅ OK","⚠ Check"),"➖ N/A")</f>
        <v>✅ OK</v>
      </c>
      <c r="G3" s="61" t="str">
        <f>IF(AND(Raw_Data!M4&gt;=0,Raw_Data!M4&lt;=100),"✅ Valid","❌ Out of Range")</f>
        <v>✅ Valid</v>
      </c>
      <c r="H3" s="61" t="str">
        <f>IF(ABS(Raw_Data!N4)&gt;50,"⚠ Unusual",IF(Raw_Data!N4&lt;0,"📉 Decline","✅ Normal"))</f>
        <v>✅ Normal</v>
      </c>
      <c r="I3" s="61" t="str">
        <f>IF(AND(Raw_Data!O4&gt;=0,Raw_Data!O4&lt;=1),"✅ Valid","❌ Invalid")</f>
        <v>✅ Valid</v>
      </c>
      <c r="J3" s="61" t="str">
        <f t="shared" ref="J3:J38" si="0">IF(AND(ISNUMBER(SEARCH("✅",D3)),ISNUMBER(SEARCH("✅",G3)),ISNUMBER(SEARCH("✅",I3))),"✅ Clean","⚠ Review")</f>
        <v>✅ Clean</v>
      </c>
    </row>
    <row r="4" ht="15" customHeight="1" spans="1:10">
      <c r="A4" s="96" t="str">
        <f>Raw_Data!A5</f>
        <v>Maharashtra</v>
      </c>
      <c r="B4" s="96" t="str">
        <f>Raw_Data!B5</f>
        <v>West</v>
      </c>
      <c r="C4" s="96" t="str">
        <f>Raw_Data!C5</f>
        <v>State</v>
      </c>
      <c r="D4" s="57" t="str">
        <f>IF(AND(Raw_Data!H5&gt;0,Raw_Data!I5&gt;0),IF(ABS((Raw_Data!H5+Raw_Data!I5)-Raw_Data!F5)&lt;1000,"✅ Match","⚠ Mismatch"),"➖ N/A")</f>
        <v>✅ Match</v>
      </c>
      <c r="E4" s="57" t="str">
        <f>IF(AND(Raw_Data!J5&gt;0,Raw_Data!K5&gt;0),IF(ABS((Raw_Data!J5+Raw_Data!K5)-Raw_Data!F5)&lt;5000,"✅ Match","⚠ Mismatch"),"➖ N/A")</f>
        <v>✅ Match</v>
      </c>
      <c r="F4" s="57" t="str">
        <f>IF(AND(Raw_Data!L5&gt;0,Raw_Data!D5&gt;0),IF(ABS(Raw_Data!F5/Raw_Data!D5-Raw_Data!L5)&lt;50,"✅ OK","⚠ Check"),"➖ N/A")</f>
        <v>✅ OK</v>
      </c>
      <c r="G4" s="57" t="str">
        <f>IF(AND(Raw_Data!M5&gt;=0,Raw_Data!M5&lt;=100),"✅ Valid","❌ Out of Range")</f>
        <v>✅ Valid</v>
      </c>
      <c r="H4" s="57" t="str">
        <f>IF(ABS(Raw_Data!N5)&gt;50,"⚠ Unusual",IF(Raw_Data!N5&lt;0,"📉 Decline","✅ Normal"))</f>
        <v>✅ Normal</v>
      </c>
      <c r="I4" s="57" t="str">
        <f>IF(AND(Raw_Data!O5&gt;=0,Raw_Data!O5&lt;=1),"✅ Valid","❌ Invalid")</f>
        <v>✅ Valid</v>
      </c>
      <c r="J4" s="57" t="str">
        <f t="shared" si="0"/>
        <v>✅ Clean</v>
      </c>
    </row>
    <row r="5" ht="15" customHeight="1" spans="1:10">
      <c r="A5" s="95" t="str">
        <f>Raw_Data!A6</f>
        <v>Bihar</v>
      </c>
      <c r="B5" s="95" t="str">
        <f>Raw_Data!B6</f>
        <v>East</v>
      </c>
      <c r="C5" s="95" t="str">
        <f>Raw_Data!C6</f>
        <v>State</v>
      </c>
      <c r="D5" s="61" t="str">
        <f>IF(AND(Raw_Data!H6&gt;0,Raw_Data!I6&gt;0),IF(ABS((Raw_Data!H6+Raw_Data!I6)-Raw_Data!F6)&lt;1000,"✅ Match","⚠ Mismatch"),"➖ N/A")</f>
        <v>✅ Match</v>
      </c>
      <c r="E5" s="61" t="str">
        <f>IF(AND(Raw_Data!J6&gt;0,Raw_Data!K6&gt;0),IF(ABS((Raw_Data!J6+Raw_Data!K6)-Raw_Data!F6)&lt;5000,"✅ Match","⚠ Mismatch"),"➖ N/A")</f>
        <v>✅ Match</v>
      </c>
      <c r="F5" s="61" t="str">
        <f>IF(AND(Raw_Data!L6&gt;0,Raw_Data!D6&gt;0),IF(ABS(Raw_Data!F6/Raw_Data!D6-Raw_Data!L6)&lt;50,"✅ OK","⚠ Check"),"➖ N/A")</f>
        <v>✅ OK</v>
      </c>
      <c r="G5" s="61" t="str">
        <f>IF(AND(Raw_Data!M6&gt;=0,Raw_Data!M6&lt;=100),"✅ Valid","❌ Out of Range")</f>
        <v>✅ Valid</v>
      </c>
      <c r="H5" s="61" t="str">
        <f>IF(ABS(Raw_Data!N6)&gt;50,"⚠ Unusual",IF(Raw_Data!N6&lt;0,"📉 Decline","✅ Normal"))</f>
        <v>✅ Normal</v>
      </c>
      <c r="I5" s="61" t="str">
        <f>IF(AND(Raw_Data!O6&gt;=0,Raw_Data!O6&lt;=1),"✅ Valid","❌ Invalid")</f>
        <v>✅ Valid</v>
      </c>
      <c r="J5" s="61" t="str">
        <f t="shared" si="0"/>
        <v>✅ Clean</v>
      </c>
    </row>
    <row r="6" ht="15" customHeight="1" spans="1:10">
      <c r="A6" s="96" t="str">
        <f>Raw_Data!A7</f>
        <v>West Bengal</v>
      </c>
      <c r="B6" s="96" t="str">
        <f>Raw_Data!B7</f>
        <v>East</v>
      </c>
      <c r="C6" s="96" t="str">
        <f>Raw_Data!C7</f>
        <v>State</v>
      </c>
      <c r="D6" s="57" t="str">
        <f>IF(AND(Raw_Data!H7&gt;0,Raw_Data!I7&gt;0),IF(ABS((Raw_Data!H7+Raw_Data!I7)-Raw_Data!F7)&lt;1000,"✅ Match","⚠ Mismatch"),"➖ N/A")</f>
        <v>✅ Match</v>
      </c>
      <c r="E6" s="57" t="str">
        <f>IF(AND(Raw_Data!J7&gt;0,Raw_Data!K7&gt;0),IF(ABS((Raw_Data!J7+Raw_Data!K7)-Raw_Data!F7)&lt;5000,"✅ Match","⚠ Mismatch"),"➖ N/A")</f>
        <v>✅ Match</v>
      </c>
      <c r="F6" s="57" t="str">
        <f>IF(AND(Raw_Data!L7&gt;0,Raw_Data!D7&gt;0),IF(ABS(Raw_Data!F7/Raw_Data!D7-Raw_Data!L7)&lt;50,"✅ OK","⚠ Check"),"➖ N/A")</f>
        <v>✅ OK</v>
      </c>
      <c r="G6" s="57" t="str">
        <f>IF(AND(Raw_Data!M7&gt;=0,Raw_Data!M7&lt;=100),"✅ Valid","❌ Out of Range")</f>
        <v>✅ Valid</v>
      </c>
      <c r="H6" s="57" t="str">
        <f>IF(ABS(Raw_Data!N7)&gt;50,"⚠ Unusual",IF(Raw_Data!N7&lt;0,"📉 Decline","✅ Normal"))</f>
        <v>✅ Normal</v>
      </c>
      <c r="I6" s="57" t="str">
        <f>IF(AND(Raw_Data!O7&gt;=0,Raw_Data!O7&lt;=1),"✅ Valid","❌ Invalid")</f>
        <v>✅ Valid</v>
      </c>
      <c r="J6" s="57" t="str">
        <f t="shared" si="0"/>
        <v>✅ Clean</v>
      </c>
    </row>
    <row r="7" ht="15" customHeight="1" spans="1:10">
      <c r="A7" s="95" t="str">
        <f>Raw_Data!A8</f>
        <v>Madhya Pradesh</v>
      </c>
      <c r="B7" s="95" t="str">
        <f>Raw_Data!B8</f>
        <v>Central</v>
      </c>
      <c r="C7" s="95" t="str">
        <f>Raw_Data!C8</f>
        <v>State</v>
      </c>
      <c r="D7" s="61" t="str">
        <f>IF(AND(Raw_Data!H8&gt;0,Raw_Data!I8&gt;0),IF(ABS((Raw_Data!H8+Raw_Data!I8)-Raw_Data!F8)&lt;1000,"✅ Match","⚠ Mismatch"),"➖ N/A")</f>
        <v>✅ Match</v>
      </c>
      <c r="E7" s="61" t="str">
        <f>IF(AND(Raw_Data!J8&gt;0,Raw_Data!K8&gt;0),IF(ABS((Raw_Data!J8+Raw_Data!K8)-Raw_Data!F8)&lt;5000,"✅ Match","⚠ Mismatch"),"➖ N/A")</f>
        <v>✅ Match</v>
      </c>
      <c r="F7" s="61" t="str">
        <f>IF(AND(Raw_Data!L8&gt;0,Raw_Data!D8&gt;0),IF(ABS(Raw_Data!F8/Raw_Data!D8-Raw_Data!L8)&lt;50,"✅ OK","⚠ Check"),"➖ N/A")</f>
        <v>✅ OK</v>
      </c>
      <c r="G7" s="61" t="str">
        <f>IF(AND(Raw_Data!M8&gt;=0,Raw_Data!M8&lt;=100),"✅ Valid","❌ Out of Range")</f>
        <v>✅ Valid</v>
      </c>
      <c r="H7" s="61" t="str">
        <f>IF(ABS(Raw_Data!N8)&gt;50,"⚠ Unusual",IF(Raw_Data!N8&lt;0,"📉 Decline","✅ Normal"))</f>
        <v>✅ Normal</v>
      </c>
      <c r="I7" s="61" t="str">
        <f>IF(AND(Raw_Data!O8&gt;=0,Raw_Data!O8&lt;=1),"✅ Valid","❌ Invalid")</f>
        <v>✅ Valid</v>
      </c>
      <c r="J7" s="61" t="str">
        <f t="shared" si="0"/>
        <v>✅ Clean</v>
      </c>
    </row>
    <row r="8" ht="15" customHeight="1" spans="1:10">
      <c r="A8" s="96" t="str">
        <f>Raw_Data!A9</f>
        <v>Rajasthan</v>
      </c>
      <c r="B8" s="96" t="str">
        <f>Raw_Data!B9</f>
        <v>North</v>
      </c>
      <c r="C8" s="96" t="str">
        <f>Raw_Data!C9</f>
        <v>State</v>
      </c>
      <c r="D8" s="57" t="str">
        <f>IF(AND(Raw_Data!H9&gt;0,Raw_Data!I9&gt;0),IF(ABS((Raw_Data!H9+Raw_Data!I9)-Raw_Data!F9)&lt;1000,"✅ Match","⚠ Mismatch"),"➖ N/A")</f>
        <v>✅ Match</v>
      </c>
      <c r="E8" s="57" t="str">
        <f>IF(AND(Raw_Data!J9&gt;0,Raw_Data!K9&gt;0),IF(ABS((Raw_Data!J9+Raw_Data!K9)-Raw_Data!F9)&lt;5000,"✅ Match","⚠ Mismatch"),"➖ N/A")</f>
        <v>✅ Match</v>
      </c>
      <c r="F8" s="57" t="str">
        <f>IF(AND(Raw_Data!L9&gt;0,Raw_Data!D9&gt;0),IF(ABS(Raw_Data!F9/Raw_Data!D9-Raw_Data!L9)&lt;50,"✅ OK","⚠ Check"),"➖ N/A")</f>
        <v>✅ OK</v>
      </c>
      <c r="G8" s="57" t="str">
        <f>IF(AND(Raw_Data!M9&gt;=0,Raw_Data!M9&lt;=100),"✅ Valid","❌ Out of Range")</f>
        <v>✅ Valid</v>
      </c>
      <c r="H8" s="57" t="str">
        <f>IF(ABS(Raw_Data!N9)&gt;50,"⚠ Unusual",IF(Raw_Data!N9&lt;0,"📉 Decline","✅ Normal"))</f>
        <v>✅ Normal</v>
      </c>
      <c r="I8" s="57" t="str">
        <f>IF(AND(Raw_Data!O9&gt;=0,Raw_Data!O9&lt;=1),"✅ Valid","❌ Invalid")</f>
        <v>✅ Valid</v>
      </c>
      <c r="J8" s="57" t="str">
        <f t="shared" si="0"/>
        <v>✅ Clean</v>
      </c>
    </row>
    <row r="9" ht="15" customHeight="1" spans="1:10">
      <c r="A9" s="95" t="str">
        <f>Raw_Data!A10</f>
        <v>Tamil Nadu</v>
      </c>
      <c r="B9" s="95" t="str">
        <f>Raw_Data!B10</f>
        <v>South</v>
      </c>
      <c r="C9" s="95" t="str">
        <f>Raw_Data!C10</f>
        <v>State</v>
      </c>
      <c r="D9" s="61" t="str">
        <f>IF(AND(Raw_Data!H10&gt;0,Raw_Data!I10&gt;0),IF(ABS((Raw_Data!H10+Raw_Data!I10)-Raw_Data!F10)&lt;1000,"✅ Match","⚠ Mismatch"),"➖ N/A")</f>
        <v>✅ Match</v>
      </c>
      <c r="E9" s="61" t="str">
        <f>IF(AND(Raw_Data!J10&gt;0,Raw_Data!K10&gt;0),IF(ABS((Raw_Data!J10+Raw_Data!K10)-Raw_Data!F10)&lt;5000,"✅ Match","⚠ Mismatch"),"➖ N/A")</f>
        <v>✅ Match</v>
      </c>
      <c r="F9" s="61" t="str">
        <f>IF(AND(Raw_Data!L10&gt;0,Raw_Data!D10&gt;0),IF(ABS(Raw_Data!F10/Raw_Data!D10-Raw_Data!L10)&lt;50,"✅ OK","⚠ Check"),"➖ N/A")</f>
        <v>✅ OK</v>
      </c>
      <c r="G9" s="61" t="str">
        <f>IF(AND(Raw_Data!M10&gt;=0,Raw_Data!M10&lt;=100),"✅ Valid","❌ Out of Range")</f>
        <v>✅ Valid</v>
      </c>
      <c r="H9" s="61" t="str">
        <f>IF(ABS(Raw_Data!N10)&gt;50,"⚠ Unusual",IF(Raw_Data!N10&lt;0,"📉 Decline","✅ Normal"))</f>
        <v>✅ Normal</v>
      </c>
      <c r="I9" s="61" t="str">
        <f>IF(AND(Raw_Data!O10&gt;=0,Raw_Data!O10&lt;=1),"✅ Valid","❌ Invalid")</f>
        <v>✅ Valid</v>
      </c>
      <c r="J9" s="61" t="str">
        <f t="shared" si="0"/>
        <v>✅ Clean</v>
      </c>
    </row>
    <row r="10" ht="15" customHeight="1" spans="1:10">
      <c r="A10" s="96" t="str">
        <f>Raw_Data!A11</f>
        <v>Karnataka</v>
      </c>
      <c r="B10" s="96" t="str">
        <f>Raw_Data!B11</f>
        <v>South</v>
      </c>
      <c r="C10" s="96" t="str">
        <f>Raw_Data!C11</f>
        <v>State</v>
      </c>
      <c r="D10" s="57" t="str">
        <f>IF(AND(Raw_Data!H11&gt;0,Raw_Data!I11&gt;0),IF(ABS((Raw_Data!H11+Raw_Data!I11)-Raw_Data!F11)&lt;1000,"✅ Match","⚠ Mismatch"),"➖ N/A")</f>
        <v>✅ Match</v>
      </c>
      <c r="E10" s="57" t="str">
        <f>IF(AND(Raw_Data!J11&gt;0,Raw_Data!K11&gt;0),IF(ABS((Raw_Data!J11+Raw_Data!K11)-Raw_Data!F11)&lt;5000,"✅ Match","⚠ Mismatch"),"➖ N/A")</f>
        <v>✅ Match</v>
      </c>
      <c r="F10" s="57" t="str">
        <f>IF(AND(Raw_Data!L11&gt;0,Raw_Data!D11&gt;0),IF(ABS(Raw_Data!F11/Raw_Data!D11-Raw_Data!L11)&lt;50,"✅ OK","⚠ Check"),"➖ N/A")</f>
        <v>✅ OK</v>
      </c>
      <c r="G10" s="57" t="str">
        <f>IF(AND(Raw_Data!M11&gt;=0,Raw_Data!M11&lt;=100),"✅ Valid","❌ Out of Range")</f>
        <v>✅ Valid</v>
      </c>
      <c r="H10" s="57" t="str">
        <f>IF(ABS(Raw_Data!N11)&gt;50,"⚠ Unusual",IF(Raw_Data!N11&lt;0,"📉 Decline","✅ Normal"))</f>
        <v>✅ Normal</v>
      </c>
      <c r="I10" s="57" t="str">
        <f>IF(AND(Raw_Data!O11&gt;=0,Raw_Data!O11&lt;=1),"✅ Valid","❌ Invalid")</f>
        <v>✅ Valid</v>
      </c>
      <c r="J10" s="57" t="str">
        <f t="shared" si="0"/>
        <v>✅ Clean</v>
      </c>
    </row>
    <row r="11" ht="15" customHeight="1" spans="1:10">
      <c r="A11" s="95" t="str">
        <f>Raw_Data!A12</f>
        <v>Gujarat</v>
      </c>
      <c r="B11" s="95" t="str">
        <f>Raw_Data!B12</f>
        <v>West</v>
      </c>
      <c r="C11" s="95" t="str">
        <f>Raw_Data!C12</f>
        <v>State</v>
      </c>
      <c r="D11" s="61" t="str">
        <f>IF(AND(Raw_Data!H12&gt;0,Raw_Data!I12&gt;0),IF(ABS((Raw_Data!H12+Raw_Data!I12)-Raw_Data!F12)&lt;1000,"✅ Match","⚠ Mismatch"),"➖ N/A")</f>
        <v>✅ Match</v>
      </c>
      <c r="E11" s="61" t="str">
        <f>IF(AND(Raw_Data!J12&gt;0,Raw_Data!K12&gt;0),IF(ABS((Raw_Data!J12+Raw_Data!K12)-Raw_Data!F12)&lt;5000,"✅ Match","⚠ Mismatch"),"➖ N/A")</f>
        <v>✅ Match</v>
      </c>
      <c r="F11" s="61" t="str">
        <f>IF(AND(Raw_Data!L12&gt;0,Raw_Data!D12&gt;0),IF(ABS(Raw_Data!F12/Raw_Data!D12-Raw_Data!L12)&lt;50,"✅ OK","⚠ Check"),"➖ N/A")</f>
        <v>✅ OK</v>
      </c>
      <c r="G11" s="61" t="str">
        <f>IF(AND(Raw_Data!M12&gt;=0,Raw_Data!M12&lt;=100),"✅ Valid","❌ Out of Range")</f>
        <v>✅ Valid</v>
      </c>
      <c r="H11" s="61" t="str">
        <f>IF(ABS(Raw_Data!N12)&gt;50,"⚠ Unusual",IF(Raw_Data!N12&lt;0,"📉 Decline","✅ Normal"))</f>
        <v>✅ Normal</v>
      </c>
      <c r="I11" s="61" t="str">
        <f>IF(AND(Raw_Data!O12&gt;=0,Raw_Data!O12&lt;=1),"✅ Valid","❌ Invalid")</f>
        <v>✅ Valid</v>
      </c>
      <c r="J11" s="61" t="str">
        <f t="shared" si="0"/>
        <v>✅ Clean</v>
      </c>
    </row>
    <row r="12" ht="15" customHeight="1" spans="1:10">
      <c r="A12" s="96" t="str">
        <f>Raw_Data!A13</f>
        <v>Andhra Pradesh</v>
      </c>
      <c r="B12" s="96" t="str">
        <f>Raw_Data!B13</f>
        <v>South</v>
      </c>
      <c r="C12" s="96" t="str">
        <f>Raw_Data!C13</f>
        <v>State</v>
      </c>
      <c r="D12" s="57" t="str">
        <f>IF(AND(Raw_Data!H13&gt;0,Raw_Data!I13&gt;0),IF(ABS((Raw_Data!H13+Raw_Data!I13)-Raw_Data!F13)&lt;1000,"✅ Match","⚠ Mismatch"),"➖ N/A")</f>
        <v>✅ Match</v>
      </c>
      <c r="E12" s="57" t="str">
        <f>IF(AND(Raw_Data!J13&gt;0,Raw_Data!K13&gt;0),IF(ABS((Raw_Data!J13+Raw_Data!K13)-Raw_Data!F13)&lt;5000,"✅ Match","⚠ Mismatch"),"➖ N/A")</f>
        <v>✅ Match</v>
      </c>
      <c r="F12" s="57" t="str">
        <f>IF(AND(Raw_Data!L13&gt;0,Raw_Data!D13&gt;0),IF(ABS(Raw_Data!F13/Raw_Data!D13-Raw_Data!L13)&lt;50,"✅ OK","⚠ Check"),"➖ N/A")</f>
        <v>✅ OK</v>
      </c>
      <c r="G12" s="57" t="str">
        <f>IF(AND(Raw_Data!M13&gt;=0,Raw_Data!M13&lt;=100),"✅ Valid","❌ Out of Range")</f>
        <v>✅ Valid</v>
      </c>
      <c r="H12" s="57" t="str">
        <f>IF(ABS(Raw_Data!N13)&gt;50,"⚠ Unusual",IF(Raw_Data!N13&lt;0,"📉 Decline","✅ Normal"))</f>
        <v>📉 Decline</v>
      </c>
      <c r="I12" s="57" t="str">
        <f>IF(AND(Raw_Data!O13&gt;=0,Raw_Data!O13&lt;=1),"✅ Valid","❌ Invalid")</f>
        <v>✅ Valid</v>
      </c>
      <c r="J12" s="57" t="str">
        <f t="shared" si="0"/>
        <v>✅ Clean</v>
      </c>
    </row>
    <row r="13" ht="15" customHeight="1" spans="1:10">
      <c r="A13" s="95" t="str">
        <f>Raw_Data!A14</f>
        <v>Telangana</v>
      </c>
      <c r="B13" s="95" t="str">
        <f>Raw_Data!B14</f>
        <v>South</v>
      </c>
      <c r="C13" s="95" t="str">
        <f>Raw_Data!C14</f>
        <v>State</v>
      </c>
      <c r="D13" s="61" t="str">
        <f>IF(AND(Raw_Data!H14&gt;0,Raw_Data!I14&gt;0),IF(ABS((Raw_Data!H14+Raw_Data!I14)-Raw_Data!F14)&lt;1000,"✅ Match","⚠ Mismatch"),"➖ N/A")</f>
        <v>✅ Match</v>
      </c>
      <c r="E13" s="61" t="str">
        <f>IF(AND(Raw_Data!J14&gt;0,Raw_Data!K14&gt;0),IF(ABS((Raw_Data!J14+Raw_Data!K14)-Raw_Data!F14)&lt;5000,"✅ Match","⚠ Mismatch"),"➖ N/A")</f>
        <v>✅ Match</v>
      </c>
      <c r="F13" s="61" t="str">
        <f>IF(AND(Raw_Data!L14&gt;0,Raw_Data!D14&gt;0),IF(ABS(Raw_Data!F14/Raw_Data!D14-Raw_Data!L14)&lt;50,"✅ OK","⚠ Check"),"➖ N/A")</f>
        <v>✅ OK</v>
      </c>
      <c r="G13" s="61" t="str">
        <f>IF(AND(Raw_Data!M14&gt;=0,Raw_Data!M14&lt;=100),"✅ Valid","❌ Out of Range")</f>
        <v>✅ Valid</v>
      </c>
      <c r="H13" s="61" t="str">
        <f>IF(ABS(Raw_Data!N14)&gt;50,"⚠ Unusual",IF(Raw_Data!N14&lt;0,"📉 Decline","✅ Normal"))</f>
        <v>✅ Normal</v>
      </c>
      <c r="I13" s="61" t="str">
        <f>IF(AND(Raw_Data!O14&gt;=0,Raw_Data!O14&lt;=1),"✅ Valid","❌ Invalid")</f>
        <v>✅ Valid</v>
      </c>
      <c r="J13" s="61" t="str">
        <f t="shared" si="0"/>
        <v>✅ Clean</v>
      </c>
    </row>
    <row r="14" ht="15" customHeight="1" spans="1:10">
      <c r="A14" s="96" t="str">
        <f>Raw_Data!A15</f>
        <v>Odisha</v>
      </c>
      <c r="B14" s="96" t="str">
        <f>Raw_Data!B15</f>
        <v>East</v>
      </c>
      <c r="C14" s="96" t="str">
        <f>Raw_Data!C15</f>
        <v>State</v>
      </c>
      <c r="D14" s="57" t="str">
        <f>IF(AND(Raw_Data!H15&gt;0,Raw_Data!I15&gt;0),IF(ABS((Raw_Data!H15+Raw_Data!I15)-Raw_Data!F15)&lt;1000,"✅ Match","⚠ Mismatch"),"➖ N/A")</f>
        <v>✅ Match</v>
      </c>
      <c r="E14" s="57" t="str">
        <f>IF(AND(Raw_Data!J15&gt;0,Raw_Data!K15&gt;0),IF(ABS((Raw_Data!J15+Raw_Data!K15)-Raw_Data!F15)&lt;5000,"✅ Match","⚠ Mismatch"),"➖ N/A")</f>
        <v>✅ Match</v>
      </c>
      <c r="F14" s="57" t="str">
        <f>IF(AND(Raw_Data!L15&gt;0,Raw_Data!D15&gt;0),IF(ABS(Raw_Data!F15/Raw_Data!D15-Raw_Data!L15)&lt;50,"✅ OK","⚠ Check"),"➖ N/A")</f>
        <v>✅ OK</v>
      </c>
      <c r="G14" s="57" t="str">
        <f>IF(AND(Raw_Data!M15&gt;=0,Raw_Data!M15&lt;=100),"✅ Valid","❌ Out of Range")</f>
        <v>✅ Valid</v>
      </c>
      <c r="H14" s="57" t="str">
        <f>IF(ABS(Raw_Data!N15)&gt;50,"⚠ Unusual",IF(Raw_Data!N15&lt;0,"📉 Decline","✅ Normal"))</f>
        <v>✅ Normal</v>
      </c>
      <c r="I14" s="57" t="str">
        <f>IF(AND(Raw_Data!O15&gt;=0,Raw_Data!O15&lt;=1),"✅ Valid","❌ Invalid")</f>
        <v>✅ Valid</v>
      </c>
      <c r="J14" s="57" t="str">
        <f t="shared" si="0"/>
        <v>✅ Clean</v>
      </c>
    </row>
    <row r="15" ht="15" customHeight="1" spans="1:10">
      <c r="A15" s="95" t="str">
        <f>Raw_Data!A16</f>
        <v>Kerala</v>
      </c>
      <c r="B15" s="95" t="str">
        <f>Raw_Data!B16</f>
        <v>South</v>
      </c>
      <c r="C15" s="95" t="str">
        <f>Raw_Data!C16</f>
        <v>State</v>
      </c>
      <c r="D15" s="61" t="str">
        <f>IF(AND(Raw_Data!H16&gt;0,Raw_Data!I16&gt;0),IF(ABS((Raw_Data!H16+Raw_Data!I16)-Raw_Data!F16)&lt;1000,"✅ Match","⚠ Mismatch"),"➖ N/A")</f>
        <v>✅ Match</v>
      </c>
      <c r="E15" s="61" t="str">
        <f>IF(AND(Raw_Data!J16&gt;0,Raw_Data!K16&gt;0),IF(ABS((Raw_Data!J16+Raw_Data!K16)-Raw_Data!F16)&lt;5000,"✅ Match","⚠ Mismatch"),"➖ N/A")</f>
        <v>✅ Match</v>
      </c>
      <c r="F15" s="61" t="str">
        <f>IF(AND(Raw_Data!L16&gt;0,Raw_Data!D16&gt;0),IF(ABS(Raw_Data!F16/Raw_Data!D16-Raw_Data!L16)&lt;50,"✅ OK","⚠ Check"),"➖ N/A")</f>
        <v>✅ OK</v>
      </c>
      <c r="G15" s="61" t="str">
        <f>IF(AND(Raw_Data!M16&gt;=0,Raw_Data!M16&lt;=100),"✅ Valid","❌ Out of Range")</f>
        <v>✅ Valid</v>
      </c>
      <c r="H15" s="61" t="str">
        <f>IF(ABS(Raw_Data!N16)&gt;50,"⚠ Unusual",IF(Raw_Data!N16&lt;0,"📉 Decline","✅ Normal"))</f>
        <v>✅ Normal</v>
      </c>
      <c r="I15" s="61" t="str">
        <f>IF(AND(Raw_Data!O16&gt;=0,Raw_Data!O16&lt;=1),"✅ Valid","❌ Invalid")</f>
        <v>✅ Valid</v>
      </c>
      <c r="J15" s="61" t="str">
        <f t="shared" si="0"/>
        <v>✅ Clean</v>
      </c>
    </row>
    <row r="16" ht="15" customHeight="1" spans="1:10">
      <c r="A16" s="96" t="str">
        <f>Raw_Data!A17</f>
        <v>Jharkhand</v>
      </c>
      <c r="B16" s="96" t="str">
        <f>Raw_Data!B17</f>
        <v>East</v>
      </c>
      <c r="C16" s="96" t="str">
        <f>Raw_Data!C17</f>
        <v>State</v>
      </c>
      <c r="D16" s="57" t="str">
        <f>IF(AND(Raw_Data!H17&gt;0,Raw_Data!I17&gt;0),IF(ABS((Raw_Data!H17+Raw_Data!I17)-Raw_Data!F17)&lt;1000,"✅ Match","⚠ Mismatch"),"➖ N/A")</f>
        <v>✅ Match</v>
      </c>
      <c r="E16" s="57" t="str">
        <f>IF(AND(Raw_Data!J17&gt;0,Raw_Data!K17&gt;0),IF(ABS((Raw_Data!J17+Raw_Data!K17)-Raw_Data!F17)&lt;5000,"✅ Match","⚠ Mismatch"),"➖ N/A")</f>
        <v>✅ Match</v>
      </c>
      <c r="F16" s="57" t="str">
        <f>IF(AND(Raw_Data!L17&gt;0,Raw_Data!D17&gt;0),IF(ABS(Raw_Data!F17/Raw_Data!D17-Raw_Data!L17)&lt;50,"✅ OK","⚠ Check"),"➖ N/A")</f>
        <v>✅ OK</v>
      </c>
      <c r="G16" s="57" t="str">
        <f>IF(AND(Raw_Data!M17&gt;=0,Raw_Data!M17&lt;=100),"✅ Valid","❌ Out of Range")</f>
        <v>✅ Valid</v>
      </c>
      <c r="H16" s="57" t="str">
        <f>IF(ABS(Raw_Data!N17)&gt;50,"⚠ Unusual",IF(Raw_Data!N17&lt;0,"📉 Decline","✅ Normal"))</f>
        <v>✅ Normal</v>
      </c>
      <c r="I16" s="57" t="str">
        <f>IF(AND(Raw_Data!O17&gt;=0,Raw_Data!O17&lt;=1),"✅ Valid","❌ Invalid")</f>
        <v>✅ Valid</v>
      </c>
      <c r="J16" s="57" t="str">
        <f t="shared" si="0"/>
        <v>✅ Clean</v>
      </c>
    </row>
    <row r="17" ht="15" customHeight="1" spans="1:10">
      <c r="A17" s="95" t="str">
        <f>Raw_Data!A18</f>
        <v>Assam</v>
      </c>
      <c r="B17" s="95" t="str">
        <f>Raw_Data!B18</f>
        <v>Northeast</v>
      </c>
      <c r="C17" s="95" t="str">
        <f>Raw_Data!C18</f>
        <v>State</v>
      </c>
      <c r="D17" s="61" t="str">
        <f>IF(AND(Raw_Data!H18&gt;0,Raw_Data!I18&gt;0),IF(ABS((Raw_Data!H18+Raw_Data!I18)-Raw_Data!F18)&lt;1000,"✅ Match","⚠ Mismatch"),"➖ N/A")</f>
        <v>✅ Match</v>
      </c>
      <c r="E17" s="61" t="str">
        <f>IF(AND(Raw_Data!J18&gt;0,Raw_Data!K18&gt;0),IF(ABS((Raw_Data!J18+Raw_Data!K18)-Raw_Data!F18)&lt;5000,"✅ Match","⚠ Mismatch"),"➖ N/A")</f>
        <v>✅ Match</v>
      </c>
      <c r="F17" s="61" t="str">
        <f>IF(AND(Raw_Data!L18&gt;0,Raw_Data!D18&gt;0),IF(ABS(Raw_Data!F18/Raw_Data!D18-Raw_Data!L18)&lt;50,"✅ OK","⚠ Check"),"➖ N/A")</f>
        <v>✅ OK</v>
      </c>
      <c r="G17" s="61" t="str">
        <f>IF(AND(Raw_Data!M18&gt;=0,Raw_Data!M18&lt;=100),"✅ Valid","❌ Out of Range")</f>
        <v>✅ Valid</v>
      </c>
      <c r="H17" s="61" t="str">
        <f>IF(ABS(Raw_Data!N18)&gt;50,"⚠ Unusual",IF(Raw_Data!N18&lt;0,"📉 Decline","✅ Normal"))</f>
        <v>✅ Normal</v>
      </c>
      <c r="I17" s="61" t="str">
        <f>IF(AND(Raw_Data!O18&gt;=0,Raw_Data!O18&lt;=1),"✅ Valid","❌ Invalid")</f>
        <v>✅ Valid</v>
      </c>
      <c r="J17" s="61" t="str">
        <f t="shared" si="0"/>
        <v>✅ Clean</v>
      </c>
    </row>
    <row r="18" ht="15" customHeight="1" spans="1:10">
      <c r="A18" s="96" t="str">
        <f>Raw_Data!A19</f>
        <v>Punjab</v>
      </c>
      <c r="B18" s="96" t="str">
        <f>Raw_Data!B19</f>
        <v>North</v>
      </c>
      <c r="C18" s="96" t="str">
        <f>Raw_Data!C19</f>
        <v>State</v>
      </c>
      <c r="D18" s="57" t="str">
        <f>IF(AND(Raw_Data!H19&gt;0,Raw_Data!I19&gt;0),IF(ABS((Raw_Data!H19+Raw_Data!I19)-Raw_Data!F19)&lt;1000,"✅ Match","⚠ Mismatch"),"➖ N/A")</f>
        <v>✅ Match</v>
      </c>
      <c r="E18" s="57" t="str">
        <f>IF(AND(Raw_Data!J19&gt;0,Raw_Data!K19&gt;0),IF(ABS((Raw_Data!J19+Raw_Data!K19)-Raw_Data!F19)&lt;5000,"✅ Match","⚠ Mismatch"),"➖ N/A")</f>
        <v>✅ Match</v>
      </c>
      <c r="F18" s="57" t="str">
        <f>IF(AND(Raw_Data!L19&gt;0,Raw_Data!D19&gt;0),IF(ABS(Raw_Data!F19/Raw_Data!D19-Raw_Data!L19)&lt;50,"✅ OK","⚠ Check"),"➖ N/A")</f>
        <v>✅ OK</v>
      </c>
      <c r="G18" s="57" t="str">
        <f>IF(AND(Raw_Data!M19&gt;=0,Raw_Data!M19&lt;=100),"✅ Valid","❌ Out of Range")</f>
        <v>✅ Valid</v>
      </c>
      <c r="H18" s="57" t="str">
        <f>IF(ABS(Raw_Data!N19)&gt;50,"⚠ Unusual",IF(Raw_Data!N19&lt;0,"📉 Decline","✅ Normal"))</f>
        <v>✅ Normal</v>
      </c>
      <c r="I18" s="57" t="str">
        <f>IF(AND(Raw_Data!O19&gt;=0,Raw_Data!O19&lt;=1),"✅ Valid","❌ Invalid")</f>
        <v>✅ Valid</v>
      </c>
      <c r="J18" s="57" t="str">
        <f t="shared" si="0"/>
        <v>✅ Clean</v>
      </c>
    </row>
    <row r="19" ht="15" customHeight="1" spans="1:10">
      <c r="A19" s="95" t="str">
        <f>Raw_Data!A20</f>
        <v>Haryana</v>
      </c>
      <c r="B19" s="95" t="str">
        <f>Raw_Data!B20</f>
        <v>North</v>
      </c>
      <c r="C19" s="95" t="str">
        <f>Raw_Data!C20</f>
        <v>State</v>
      </c>
      <c r="D19" s="61" t="str">
        <f>IF(AND(Raw_Data!H20&gt;0,Raw_Data!I20&gt;0),IF(ABS((Raw_Data!H20+Raw_Data!I20)-Raw_Data!F20)&lt;1000,"✅ Match","⚠ Mismatch"),"➖ N/A")</f>
        <v>✅ Match</v>
      </c>
      <c r="E19" s="61" t="str">
        <f>IF(AND(Raw_Data!J20&gt;0,Raw_Data!K20&gt;0),IF(ABS((Raw_Data!J20+Raw_Data!K20)-Raw_Data!F20)&lt;5000,"✅ Match","⚠ Mismatch"),"➖ N/A")</f>
        <v>✅ Match</v>
      </c>
      <c r="F19" s="61" t="str">
        <f>IF(AND(Raw_Data!L20&gt;0,Raw_Data!D20&gt;0),IF(ABS(Raw_Data!F20/Raw_Data!D20-Raw_Data!L20)&lt;50,"✅ OK","⚠ Check"),"➖ N/A")</f>
        <v>✅ OK</v>
      </c>
      <c r="G19" s="61" t="str">
        <f>IF(AND(Raw_Data!M20&gt;=0,Raw_Data!M20&lt;=100),"✅ Valid","❌ Out of Range")</f>
        <v>✅ Valid</v>
      </c>
      <c r="H19" s="61" t="str">
        <f>IF(ABS(Raw_Data!N20)&gt;50,"⚠ Unusual",IF(Raw_Data!N20&lt;0,"📉 Decline","✅ Normal"))</f>
        <v>✅ Normal</v>
      </c>
      <c r="I19" s="61" t="str">
        <f>IF(AND(Raw_Data!O20&gt;=0,Raw_Data!O20&lt;=1),"✅ Valid","❌ Invalid")</f>
        <v>✅ Valid</v>
      </c>
      <c r="J19" s="61" t="str">
        <f t="shared" si="0"/>
        <v>✅ Clean</v>
      </c>
    </row>
    <row r="20" ht="15" customHeight="1" spans="1:10">
      <c r="A20" s="96" t="str">
        <f>Raw_Data!A21</f>
        <v>Chhattisgarh</v>
      </c>
      <c r="B20" s="96" t="str">
        <f>Raw_Data!B21</f>
        <v>Central</v>
      </c>
      <c r="C20" s="96" t="str">
        <f>Raw_Data!C21</f>
        <v>State</v>
      </c>
      <c r="D20" s="57" t="str">
        <f>IF(AND(Raw_Data!H21&gt;0,Raw_Data!I21&gt;0),IF(ABS((Raw_Data!H21+Raw_Data!I21)-Raw_Data!F21)&lt;1000,"✅ Match","⚠ Mismatch"),"➖ N/A")</f>
        <v>✅ Match</v>
      </c>
      <c r="E20" s="57" t="str">
        <f>IF(AND(Raw_Data!J21&gt;0,Raw_Data!K21&gt;0),IF(ABS((Raw_Data!J21+Raw_Data!K21)-Raw_Data!F21)&lt;5000,"✅ Match","⚠ Mismatch"),"➖ N/A")</f>
        <v>✅ Match</v>
      </c>
      <c r="F20" s="57" t="str">
        <f>IF(AND(Raw_Data!L21&gt;0,Raw_Data!D21&gt;0),IF(ABS(Raw_Data!F21/Raw_Data!D21-Raw_Data!L21)&lt;50,"✅ OK","⚠ Check"),"➖ N/A")</f>
        <v>✅ OK</v>
      </c>
      <c r="G20" s="57" t="str">
        <f>IF(AND(Raw_Data!M21&gt;=0,Raw_Data!M21&lt;=100),"✅ Valid","❌ Out of Range")</f>
        <v>✅ Valid</v>
      </c>
      <c r="H20" s="57" t="str">
        <f>IF(ABS(Raw_Data!N21)&gt;50,"⚠ Unusual",IF(Raw_Data!N21&lt;0,"📉 Decline","✅ Normal"))</f>
        <v>✅ Normal</v>
      </c>
      <c r="I20" s="57" t="str">
        <f>IF(AND(Raw_Data!O21&gt;=0,Raw_Data!O21&lt;=1),"✅ Valid","❌ Invalid")</f>
        <v>✅ Valid</v>
      </c>
      <c r="J20" s="57" t="str">
        <f t="shared" si="0"/>
        <v>✅ Clean</v>
      </c>
    </row>
    <row r="21" ht="15" customHeight="1" spans="1:10">
      <c r="A21" s="95" t="str">
        <f>Raw_Data!A22</f>
        <v>Uttarakhand</v>
      </c>
      <c r="B21" s="95" t="str">
        <f>Raw_Data!B22</f>
        <v>North</v>
      </c>
      <c r="C21" s="95" t="str">
        <f>Raw_Data!C22</f>
        <v>State</v>
      </c>
      <c r="D21" s="61" t="str">
        <f>IF(AND(Raw_Data!H22&gt;0,Raw_Data!I22&gt;0),IF(ABS((Raw_Data!H22+Raw_Data!I22)-Raw_Data!F22)&lt;1000,"✅ Match","⚠ Mismatch"),"➖ N/A")</f>
        <v>✅ Match</v>
      </c>
      <c r="E21" s="61" t="str">
        <f>IF(AND(Raw_Data!J22&gt;0,Raw_Data!K22&gt;0),IF(ABS((Raw_Data!J22+Raw_Data!K22)-Raw_Data!F22)&lt;5000,"✅ Match","⚠ Mismatch"),"➖ N/A")</f>
        <v>✅ Match</v>
      </c>
      <c r="F21" s="61" t="str">
        <f>IF(AND(Raw_Data!L22&gt;0,Raw_Data!D22&gt;0),IF(ABS(Raw_Data!F22/Raw_Data!D22-Raw_Data!L22)&lt;50,"✅ OK","⚠ Check"),"➖ N/A")</f>
        <v>✅ OK</v>
      </c>
      <c r="G21" s="61" t="str">
        <f>IF(AND(Raw_Data!M22&gt;=0,Raw_Data!M22&lt;=100),"✅ Valid","❌ Out of Range")</f>
        <v>✅ Valid</v>
      </c>
      <c r="H21" s="61" t="str">
        <f>IF(ABS(Raw_Data!N22)&gt;50,"⚠ Unusual",IF(Raw_Data!N22&lt;0,"📉 Decline","✅ Normal"))</f>
        <v>✅ Normal</v>
      </c>
      <c r="I21" s="61" t="str">
        <f>IF(AND(Raw_Data!O22&gt;=0,Raw_Data!O22&lt;=1),"✅ Valid","❌ Invalid")</f>
        <v>✅ Valid</v>
      </c>
      <c r="J21" s="61" t="str">
        <f t="shared" si="0"/>
        <v>✅ Clean</v>
      </c>
    </row>
    <row r="22" ht="15" customHeight="1" spans="1:10">
      <c r="A22" s="96" t="str">
        <f>Raw_Data!A23</f>
        <v>Himachal Pradesh</v>
      </c>
      <c r="B22" s="96" t="str">
        <f>Raw_Data!B23</f>
        <v>North</v>
      </c>
      <c r="C22" s="96" t="str">
        <f>Raw_Data!C23</f>
        <v>State</v>
      </c>
      <c r="D22" s="57" t="str">
        <f>IF(AND(Raw_Data!H23&gt;0,Raw_Data!I23&gt;0),IF(ABS((Raw_Data!H23+Raw_Data!I23)-Raw_Data!F23)&lt;1000,"✅ Match","⚠ Mismatch"),"➖ N/A")</f>
        <v>✅ Match</v>
      </c>
      <c r="E22" s="57" t="str">
        <f>IF(AND(Raw_Data!J23&gt;0,Raw_Data!K23&gt;0),IF(ABS((Raw_Data!J23+Raw_Data!K23)-Raw_Data!F23)&lt;5000,"✅ Match","⚠ Mismatch"),"➖ N/A")</f>
        <v>✅ Match</v>
      </c>
      <c r="F22" s="57" t="str">
        <f>IF(AND(Raw_Data!L23&gt;0,Raw_Data!D23&gt;0),IF(ABS(Raw_Data!F23/Raw_Data!D23-Raw_Data!L23)&lt;50,"✅ OK","⚠ Check"),"➖ N/A")</f>
        <v>✅ OK</v>
      </c>
      <c r="G22" s="57" t="str">
        <f>IF(AND(Raw_Data!M23&gt;=0,Raw_Data!M23&lt;=100),"✅ Valid","❌ Out of Range")</f>
        <v>✅ Valid</v>
      </c>
      <c r="H22" s="57" t="str">
        <f>IF(ABS(Raw_Data!N23)&gt;50,"⚠ Unusual",IF(Raw_Data!N23&lt;0,"📉 Decline","✅ Normal"))</f>
        <v>✅ Normal</v>
      </c>
      <c r="I22" s="57" t="str">
        <f>IF(AND(Raw_Data!O23&gt;=0,Raw_Data!O23&lt;=1),"✅ Valid","❌ Invalid")</f>
        <v>✅ Valid</v>
      </c>
      <c r="J22" s="57" t="str">
        <f t="shared" si="0"/>
        <v>✅ Clean</v>
      </c>
    </row>
    <row r="23" ht="15" customHeight="1" spans="1:10">
      <c r="A23" s="95" t="str">
        <f>Raw_Data!A24</f>
        <v>Tripura</v>
      </c>
      <c r="B23" s="95" t="str">
        <f>Raw_Data!B24</f>
        <v>Northeast</v>
      </c>
      <c r="C23" s="95" t="str">
        <f>Raw_Data!C24</f>
        <v>State</v>
      </c>
      <c r="D23" s="61" t="str">
        <f>IF(AND(Raw_Data!H24&gt;0,Raw_Data!I24&gt;0),IF(ABS((Raw_Data!H24+Raw_Data!I24)-Raw_Data!F24)&lt;1000,"✅ Match","⚠ Mismatch"),"➖ N/A")</f>
        <v>✅ Match</v>
      </c>
      <c r="E23" s="61" t="str">
        <f>IF(AND(Raw_Data!J24&gt;0,Raw_Data!K24&gt;0),IF(ABS((Raw_Data!J24+Raw_Data!K24)-Raw_Data!F24)&lt;5000,"✅ Match","⚠ Mismatch"),"➖ N/A")</f>
        <v>✅ Match</v>
      </c>
      <c r="F23" s="61" t="str">
        <f>IF(AND(Raw_Data!L24&gt;0,Raw_Data!D24&gt;0),IF(ABS(Raw_Data!F24/Raw_Data!D24-Raw_Data!L24)&lt;50,"✅ OK","⚠ Check"),"➖ N/A")</f>
        <v>✅ OK</v>
      </c>
      <c r="G23" s="61" t="str">
        <f>IF(AND(Raw_Data!M24&gt;=0,Raw_Data!M24&lt;=100),"✅ Valid","❌ Out of Range")</f>
        <v>✅ Valid</v>
      </c>
      <c r="H23" s="61" t="str">
        <f>IF(ABS(Raw_Data!N24)&gt;50,"⚠ Unusual",IF(Raw_Data!N24&lt;0,"📉 Decline","✅ Normal"))</f>
        <v>✅ Normal</v>
      </c>
      <c r="I23" s="61" t="str">
        <f>IF(AND(Raw_Data!O24&gt;=0,Raw_Data!O24&lt;=1),"✅ Valid","❌ Invalid")</f>
        <v>✅ Valid</v>
      </c>
      <c r="J23" s="61" t="str">
        <f t="shared" si="0"/>
        <v>✅ Clean</v>
      </c>
    </row>
    <row r="24" ht="15" customHeight="1" spans="1:10">
      <c r="A24" s="96" t="str">
        <f>Raw_Data!A25</f>
        <v>Meghalaya</v>
      </c>
      <c r="B24" s="96" t="str">
        <f>Raw_Data!B25</f>
        <v>Northeast</v>
      </c>
      <c r="C24" s="96" t="str">
        <f>Raw_Data!C25</f>
        <v>State</v>
      </c>
      <c r="D24" s="57" t="str">
        <f>IF(AND(Raw_Data!H25&gt;0,Raw_Data!I25&gt;0),IF(ABS((Raw_Data!H25+Raw_Data!I25)-Raw_Data!F25)&lt;1000,"✅ Match","⚠ Mismatch"),"➖ N/A")</f>
        <v>✅ Match</v>
      </c>
      <c r="E24" s="57" t="str">
        <f>IF(AND(Raw_Data!J25&gt;0,Raw_Data!K25&gt;0),IF(ABS((Raw_Data!J25+Raw_Data!K25)-Raw_Data!F25)&lt;5000,"✅ Match","⚠ Mismatch"),"➖ N/A")</f>
        <v>✅ Match</v>
      </c>
      <c r="F24" s="57" t="str">
        <f>IF(AND(Raw_Data!L25&gt;0,Raw_Data!D25&gt;0),IF(ABS(Raw_Data!F25/Raw_Data!D25-Raw_Data!L25)&lt;50,"✅ OK","⚠ Check"),"➖ N/A")</f>
        <v>✅ OK</v>
      </c>
      <c r="G24" s="57" t="str">
        <f>IF(AND(Raw_Data!M25&gt;=0,Raw_Data!M25&lt;=100),"✅ Valid","❌ Out of Range")</f>
        <v>✅ Valid</v>
      </c>
      <c r="H24" s="57" t="str">
        <f>IF(ABS(Raw_Data!N25)&gt;50,"⚠ Unusual",IF(Raw_Data!N25&lt;0,"📉 Decline","✅ Normal"))</f>
        <v>✅ Normal</v>
      </c>
      <c r="I24" s="57" t="str">
        <f>IF(AND(Raw_Data!O25&gt;=0,Raw_Data!O25&lt;=1),"✅ Valid","❌ Invalid")</f>
        <v>✅ Valid</v>
      </c>
      <c r="J24" s="57" t="str">
        <f t="shared" si="0"/>
        <v>✅ Clean</v>
      </c>
    </row>
    <row r="25" ht="15" customHeight="1" spans="1:10">
      <c r="A25" s="95" t="str">
        <f>Raw_Data!A26</f>
        <v>Manipur</v>
      </c>
      <c r="B25" s="95" t="str">
        <f>Raw_Data!B26</f>
        <v>Northeast</v>
      </c>
      <c r="C25" s="95" t="str">
        <f>Raw_Data!C26</f>
        <v>State</v>
      </c>
      <c r="D25" s="61" t="str">
        <f>IF(AND(Raw_Data!H26&gt;0,Raw_Data!I26&gt;0),IF(ABS((Raw_Data!H26+Raw_Data!I26)-Raw_Data!F26)&lt;1000,"✅ Match","⚠ Mismatch"),"➖ N/A")</f>
        <v>✅ Match</v>
      </c>
      <c r="E25" s="61" t="str">
        <f>IF(AND(Raw_Data!J26&gt;0,Raw_Data!K26&gt;0),IF(ABS((Raw_Data!J26+Raw_Data!K26)-Raw_Data!F26)&lt;5000,"✅ Match","⚠ Mismatch"),"➖ N/A")</f>
        <v>✅ Match</v>
      </c>
      <c r="F25" s="61" t="str">
        <f>IF(AND(Raw_Data!L26&gt;0,Raw_Data!D26&gt;0),IF(ABS(Raw_Data!F26/Raw_Data!D26-Raw_Data!L26)&lt;50,"✅ OK","⚠ Check"),"➖ N/A")</f>
        <v>✅ OK</v>
      </c>
      <c r="G25" s="61" t="str">
        <f>IF(AND(Raw_Data!M26&gt;=0,Raw_Data!M26&lt;=100),"✅ Valid","❌ Out of Range")</f>
        <v>✅ Valid</v>
      </c>
      <c r="H25" s="61" t="str">
        <f>IF(ABS(Raw_Data!N26)&gt;50,"⚠ Unusual",IF(Raw_Data!N26&lt;0,"📉 Decline","✅ Normal"))</f>
        <v>✅ Normal</v>
      </c>
      <c r="I25" s="61" t="str">
        <f>IF(AND(Raw_Data!O26&gt;=0,Raw_Data!O26&lt;=1),"✅ Valid","❌ Invalid")</f>
        <v>✅ Valid</v>
      </c>
      <c r="J25" s="61" t="str">
        <f t="shared" si="0"/>
        <v>✅ Clean</v>
      </c>
    </row>
    <row r="26" ht="15" customHeight="1" spans="1:10">
      <c r="A26" s="96" t="str">
        <f>Raw_Data!A27</f>
        <v>Nagaland</v>
      </c>
      <c r="B26" s="96" t="str">
        <f>Raw_Data!B27</f>
        <v>Northeast</v>
      </c>
      <c r="C26" s="96" t="str">
        <f>Raw_Data!C27</f>
        <v>State</v>
      </c>
      <c r="D26" s="57" t="str">
        <f>IF(AND(Raw_Data!H27&gt;0,Raw_Data!I27&gt;0),IF(ABS((Raw_Data!H27+Raw_Data!I27)-Raw_Data!F27)&lt;1000,"✅ Match","⚠ Mismatch"),"➖ N/A")</f>
        <v>✅ Match</v>
      </c>
      <c r="E26" s="57" t="str">
        <f>IF(AND(Raw_Data!J27&gt;0,Raw_Data!K27&gt;0),IF(ABS((Raw_Data!J27+Raw_Data!K27)-Raw_Data!F27)&lt;5000,"✅ Match","⚠ Mismatch"),"➖ N/A")</f>
        <v>✅ Match</v>
      </c>
      <c r="F26" s="57" t="str">
        <f>IF(AND(Raw_Data!L27&gt;0,Raw_Data!D27&gt;0),IF(ABS(Raw_Data!F27/Raw_Data!D27-Raw_Data!L27)&lt;50,"✅ OK","⚠ Check"),"➖ N/A")</f>
        <v>✅ OK</v>
      </c>
      <c r="G26" s="57" t="str">
        <f>IF(AND(Raw_Data!M27&gt;=0,Raw_Data!M27&lt;=100),"✅ Valid","❌ Out of Range")</f>
        <v>✅ Valid</v>
      </c>
      <c r="H26" s="57" t="str">
        <f>IF(ABS(Raw_Data!N27)&gt;50,"⚠ Unusual",IF(Raw_Data!N27&lt;0,"📉 Decline","✅ Normal"))</f>
        <v>📉 Decline</v>
      </c>
      <c r="I26" s="57" t="str">
        <f>IF(AND(Raw_Data!O27&gt;=0,Raw_Data!O27&lt;=1),"✅ Valid","❌ Invalid")</f>
        <v>✅ Valid</v>
      </c>
      <c r="J26" s="57" t="str">
        <f t="shared" si="0"/>
        <v>✅ Clean</v>
      </c>
    </row>
    <row r="27" ht="15" customHeight="1" spans="1:10">
      <c r="A27" s="95" t="str">
        <f>Raw_Data!A28</f>
        <v>Goa</v>
      </c>
      <c r="B27" s="95" t="str">
        <f>Raw_Data!B28</f>
        <v>West</v>
      </c>
      <c r="C27" s="95" t="str">
        <f>Raw_Data!C28</f>
        <v>State</v>
      </c>
      <c r="D27" s="61" t="str">
        <f>IF(AND(Raw_Data!H28&gt;0,Raw_Data!I28&gt;0),IF(ABS((Raw_Data!H28+Raw_Data!I28)-Raw_Data!F28)&lt;1000,"✅ Match","⚠ Mismatch"),"➖ N/A")</f>
        <v>✅ Match</v>
      </c>
      <c r="E27" s="61" t="str">
        <f>IF(AND(Raw_Data!J28&gt;0,Raw_Data!K28&gt;0),IF(ABS((Raw_Data!J28+Raw_Data!K28)-Raw_Data!F28)&lt;5000,"✅ Match","⚠ Mismatch"),"➖ N/A")</f>
        <v>✅ Match</v>
      </c>
      <c r="F27" s="61" t="str">
        <f>IF(AND(Raw_Data!L28&gt;0,Raw_Data!D28&gt;0),IF(ABS(Raw_Data!F28/Raw_Data!D28-Raw_Data!L28)&lt;50,"✅ OK","⚠ Check"),"➖ N/A")</f>
        <v>✅ OK</v>
      </c>
      <c r="G27" s="61" t="str">
        <f>IF(AND(Raw_Data!M28&gt;=0,Raw_Data!M28&lt;=100),"✅ Valid","❌ Out of Range")</f>
        <v>✅ Valid</v>
      </c>
      <c r="H27" s="61" t="str">
        <f>IF(ABS(Raw_Data!N28)&gt;50,"⚠ Unusual",IF(Raw_Data!N28&lt;0,"📉 Decline","✅ Normal"))</f>
        <v>✅ Normal</v>
      </c>
      <c r="I27" s="61" t="str">
        <f>IF(AND(Raw_Data!O28&gt;=0,Raw_Data!O28&lt;=1),"✅ Valid","❌ Invalid")</f>
        <v>✅ Valid</v>
      </c>
      <c r="J27" s="61" t="str">
        <f t="shared" si="0"/>
        <v>✅ Clean</v>
      </c>
    </row>
    <row r="28" ht="15" customHeight="1" spans="1:10">
      <c r="A28" s="96" t="str">
        <f>Raw_Data!A29</f>
        <v>Arunachal Pradesh</v>
      </c>
      <c r="B28" s="96" t="str">
        <f>Raw_Data!B29</f>
        <v>Northeast</v>
      </c>
      <c r="C28" s="96" t="str">
        <f>Raw_Data!C29</f>
        <v>State</v>
      </c>
      <c r="D28" s="57" t="str">
        <f>IF(AND(Raw_Data!H29&gt;0,Raw_Data!I29&gt;0),IF(ABS((Raw_Data!H29+Raw_Data!I29)-Raw_Data!F29)&lt;1000,"✅ Match","⚠ Mismatch"),"➖ N/A")</f>
        <v>✅ Match</v>
      </c>
      <c r="E28" s="57" t="str">
        <f>IF(AND(Raw_Data!J29&gt;0,Raw_Data!K29&gt;0),IF(ABS((Raw_Data!J29+Raw_Data!K29)-Raw_Data!F29)&lt;5000,"✅ Match","⚠ Mismatch"),"➖ N/A")</f>
        <v>✅ Match</v>
      </c>
      <c r="F28" s="57" t="str">
        <f>IF(AND(Raw_Data!L29&gt;0,Raw_Data!D29&gt;0),IF(ABS(Raw_Data!F29/Raw_Data!D29-Raw_Data!L29)&lt;50,"✅ OK","⚠ Check"),"➖ N/A")</f>
        <v>✅ OK</v>
      </c>
      <c r="G28" s="57" t="str">
        <f>IF(AND(Raw_Data!M29&gt;=0,Raw_Data!M29&lt;=100),"✅ Valid","❌ Out of Range")</f>
        <v>✅ Valid</v>
      </c>
      <c r="H28" s="57" t="str">
        <f>IF(ABS(Raw_Data!N29)&gt;50,"⚠ Unusual",IF(Raw_Data!N29&lt;0,"📉 Decline","✅ Normal"))</f>
        <v>✅ Normal</v>
      </c>
      <c r="I28" s="57" t="str">
        <f>IF(AND(Raw_Data!O29&gt;=0,Raw_Data!O29&lt;=1),"✅ Valid","❌ Invalid")</f>
        <v>✅ Valid</v>
      </c>
      <c r="J28" s="57" t="str">
        <f t="shared" si="0"/>
        <v>✅ Clean</v>
      </c>
    </row>
    <row r="29" ht="15" customHeight="1" spans="1:10">
      <c r="A29" s="95" t="str">
        <f>Raw_Data!A30</f>
        <v>Mizoram</v>
      </c>
      <c r="B29" s="95" t="str">
        <f>Raw_Data!B30</f>
        <v>Northeast</v>
      </c>
      <c r="C29" s="95" t="str">
        <f>Raw_Data!C30</f>
        <v>State</v>
      </c>
      <c r="D29" s="61" t="str">
        <f>IF(AND(Raw_Data!H30&gt;0,Raw_Data!I30&gt;0),IF(ABS((Raw_Data!H30+Raw_Data!I30)-Raw_Data!F30)&lt;1000,"✅ Match","⚠ Mismatch"),"➖ N/A")</f>
        <v>✅ Match</v>
      </c>
      <c r="E29" s="61" t="str">
        <f>IF(AND(Raw_Data!J30&gt;0,Raw_Data!K30&gt;0),IF(ABS((Raw_Data!J30+Raw_Data!K30)-Raw_Data!F30)&lt;5000,"✅ Match","⚠ Mismatch"),"➖ N/A")</f>
        <v>✅ Match</v>
      </c>
      <c r="F29" s="61" t="str">
        <f>IF(AND(Raw_Data!L30&gt;0,Raw_Data!D30&gt;0),IF(ABS(Raw_Data!F30/Raw_Data!D30-Raw_Data!L30)&lt;50,"✅ OK","⚠ Check"),"➖ N/A")</f>
        <v>✅ OK</v>
      </c>
      <c r="G29" s="61" t="str">
        <f>IF(AND(Raw_Data!M30&gt;=0,Raw_Data!M30&lt;=100),"✅ Valid","❌ Out of Range")</f>
        <v>✅ Valid</v>
      </c>
      <c r="H29" s="61" t="str">
        <f>IF(ABS(Raw_Data!N30)&gt;50,"⚠ Unusual",IF(Raw_Data!N30&lt;0,"📉 Decline","✅ Normal"))</f>
        <v>✅ Normal</v>
      </c>
      <c r="I29" s="61" t="str">
        <f>IF(AND(Raw_Data!O30&gt;=0,Raw_Data!O30&lt;=1),"✅ Valid","❌ Invalid")</f>
        <v>✅ Valid</v>
      </c>
      <c r="J29" s="61" t="str">
        <f t="shared" si="0"/>
        <v>✅ Clean</v>
      </c>
    </row>
    <row r="30" ht="15" customHeight="1" spans="1:10">
      <c r="A30" s="96" t="str">
        <f>Raw_Data!A31</f>
        <v>Sikkim</v>
      </c>
      <c r="B30" s="96" t="str">
        <f>Raw_Data!B31</f>
        <v>Northeast</v>
      </c>
      <c r="C30" s="96" t="str">
        <f>Raw_Data!C31</f>
        <v>State</v>
      </c>
      <c r="D30" s="57" t="str">
        <f>IF(AND(Raw_Data!H31&gt;0,Raw_Data!I31&gt;0),IF(ABS((Raw_Data!H31+Raw_Data!I31)-Raw_Data!F31)&lt;1000,"✅ Match","⚠ Mismatch"),"➖ N/A")</f>
        <v>✅ Match</v>
      </c>
      <c r="E30" s="57" t="str">
        <f>IF(AND(Raw_Data!J31&gt;0,Raw_Data!K31&gt;0),IF(ABS((Raw_Data!J31+Raw_Data!K31)-Raw_Data!F31)&lt;5000,"✅ Match","⚠ Mismatch"),"➖ N/A")</f>
        <v>✅ Match</v>
      </c>
      <c r="F30" s="57" t="str">
        <f>IF(AND(Raw_Data!L31&gt;0,Raw_Data!D31&gt;0),IF(ABS(Raw_Data!F31/Raw_Data!D31-Raw_Data!L31)&lt;50,"✅ OK","⚠ Check"),"➖ N/A")</f>
        <v>✅ OK</v>
      </c>
      <c r="G30" s="57" t="str">
        <f>IF(AND(Raw_Data!M31&gt;=0,Raw_Data!M31&lt;=100),"✅ Valid","❌ Out of Range")</f>
        <v>✅ Valid</v>
      </c>
      <c r="H30" s="57" t="str">
        <f>IF(ABS(Raw_Data!N31)&gt;50,"⚠ Unusual",IF(Raw_Data!N31&lt;0,"📉 Decline","✅ Normal"))</f>
        <v>✅ Normal</v>
      </c>
      <c r="I30" s="57" t="str">
        <f>IF(AND(Raw_Data!O31&gt;=0,Raw_Data!O31&lt;=1),"✅ Valid","❌ Invalid")</f>
        <v>✅ Valid</v>
      </c>
      <c r="J30" s="57" t="str">
        <f t="shared" si="0"/>
        <v>✅ Clean</v>
      </c>
    </row>
    <row r="31" ht="15" customHeight="1" spans="1:10">
      <c r="A31" s="95" t="str">
        <f>Raw_Data!A32</f>
        <v>Delhi</v>
      </c>
      <c r="B31" s="95" t="str">
        <f>Raw_Data!B32</f>
        <v>North</v>
      </c>
      <c r="C31" s="95" t="str">
        <f>Raw_Data!C32</f>
        <v>UT</v>
      </c>
      <c r="D31" s="61" t="str">
        <f>IF(AND(Raw_Data!H32&gt;0,Raw_Data!I32&gt;0),IF(ABS((Raw_Data!H32+Raw_Data!I32)-Raw_Data!F32)&lt;1000,"✅ Match","⚠ Mismatch"),"➖ N/A")</f>
        <v>✅ Match</v>
      </c>
      <c r="E31" s="61" t="str">
        <f>IF(AND(Raw_Data!J32&gt;0,Raw_Data!K32&gt;0),IF(ABS((Raw_Data!J32+Raw_Data!K32)-Raw_Data!F32)&lt;5000,"✅ Match","⚠ Mismatch"),"➖ N/A")</f>
        <v>✅ Match</v>
      </c>
      <c r="F31" s="61" t="str">
        <f>IF(AND(Raw_Data!L32&gt;0,Raw_Data!D32&gt;0),IF(ABS(Raw_Data!F32/Raw_Data!D32-Raw_Data!L32)&lt;50,"✅ OK","⚠ Check"),"➖ N/A")</f>
        <v>✅ OK</v>
      </c>
      <c r="G31" s="61" t="str">
        <f>IF(AND(Raw_Data!M32&gt;=0,Raw_Data!M32&lt;=100),"✅ Valid","❌ Out of Range")</f>
        <v>✅ Valid</v>
      </c>
      <c r="H31" s="61" t="str">
        <f>IF(ABS(Raw_Data!N32)&gt;50,"⚠ Unusual",IF(Raw_Data!N32&lt;0,"📉 Decline","✅ Normal"))</f>
        <v>✅ Normal</v>
      </c>
      <c r="I31" s="61" t="str">
        <f>IF(AND(Raw_Data!O32&gt;=0,Raw_Data!O32&lt;=1),"✅ Valid","❌ Invalid")</f>
        <v>✅ Valid</v>
      </c>
      <c r="J31" s="61" t="str">
        <f t="shared" si="0"/>
        <v>✅ Clean</v>
      </c>
    </row>
    <row r="32" ht="15" customHeight="1" spans="1:10">
      <c r="A32" s="96" t="str">
        <f>Raw_Data!A33</f>
        <v>Jammu &amp; Kashmir</v>
      </c>
      <c r="B32" s="96" t="str">
        <f>Raw_Data!B33</f>
        <v>North</v>
      </c>
      <c r="C32" s="96" t="str">
        <f>Raw_Data!C33</f>
        <v>UT</v>
      </c>
      <c r="D32" s="57" t="str">
        <f>IF(AND(Raw_Data!H33&gt;0,Raw_Data!I33&gt;0),IF(ABS((Raw_Data!H33+Raw_Data!I33)-Raw_Data!F33)&lt;1000,"✅ Match","⚠ Mismatch"),"➖ N/A")</f>
        <v>✅ Match</v>
      </c>
      <c r="E32" s="57" t="str">
        <f>IF(AND(Raw_Data!J33&gt;0,Raw_Data!K33&gt;0),IF(ABS((Raw_Data!J33+Raw_Data!K33)-Raw_Data!F33)&lt;5000,"✅ Match","⚠ Mismatch"),"➖ N/A")</f>
        <v>✅ Match</v>
      </c>
      <c r="F32" s="57" t="str">
        <f>IF(AND(Raw_Data!L33&gt;0,Raw_Data!D33&gt;0),IF(ABS(Raw_Data!F33/Raw_Data!D33-Raw_Data!L33)&lt;50,"✅ OK","⚠ Check"),"➖ N/A")</f>
        <v>✅ OK</v>
      </c>
      <c r="G32" s="57" t="str">
        <f>IF(AND(Raw_Data!M33&gt;=0,Raw_Data!M33&lt;=100),"✅ Valid","❌ Out of Range")</f>
        <v>✅ Valid</v>
      </c>
      <c r="H32" s="57" t="str">
        <f>IF(ABS(Raw_Data!N33)&gt;50,"⚠ Unusual",IF(Raw_Data!N33&lt;0,"📉 Decline","✅ Normal"))</f>
        <v>✅ Normal</v>
      </c>
      <c r="I32" s="57" t="str">
        <f>IF(AND(Raw_Data!O33&gt;=0,Raw_Data!O33&lt;=1),"✅ Valid","❌ Invalid")</f>
        <v>✅ Valid</v>
      </c>
      <c r="J32" s="57" t="str">
        <f t="shared" si="0"/>
        <v>✅ Clean</v>
      </c>
    </row>
    <row r="33" ht="15" customHeight="1" spans="1:10">
      <c r="A33" s="95" t="str">
        <f>Raw_Data!A34</f>
        <v>Puducherry</v>
      </c>
      <c r="B33" s="95" t="str">
        <f>Raw_Data!B34</f>
        <v>South</v>
      </c>
      <c r="C33" s="95" t="str">
        <f>Raw_Data!C34</f>
        <v>UT</v>
      </c>
      <c r="D33" s="61" t="str">
        <f>IF(AND(Raw_Data!H34&gt;0,Raw_Data!I34&gt;0),IF(ABS((Raw_Data!H34+Raw_Data!I34)-Raw_Data!F34)&lt;1000,"✅ Match","⚠ Mismatch"),"➖ N/A")</f>
        <v>✅ Match</v>
      </c>
      <c r="E33" s="61" t="str">
        <f>IF(AND(Raw_Data!J34&gt;0,Raw_Data!K34&gt;0),IF(ABS((Raw_Data!J34+Raw_Data!K34)-Raw_Data!F34)&lt;5000,"✅ Match","⚠ Mismatch"),"➖ N/A")</f>
        <v>✅ Match</v>
      </c>
      <c r="F33" s="61" t="str">
        <f>IF(AND(Raw_Data!L34&gt;0,Raw_Data!D34&gt;0),IF(ABS(Raw_Data!F34/Raw_Data!D34-Raw_Data!L34)&lt;50,"✅ OK","⚠ Check"),"➖ N/A")</f>
        <v>✅ OK</v>
      </c>
      <c r="G33" s="61" t="str">
        <f>IF(AND(Raw_Data!M34&gt;=0,Raw_Data!M34&lt;=100),"✅ Valid","❌ Out of Range")</f>
        <v>✅ Valid</v>
      </c>
      <c r="H33" s="61" t="str">
        <f>IF(ABS(Raw_Data!N34)&gt;50,"⚠ Unusual",IF(Raw_Data!N34&lt;0,"📉 Decline","✅ Normal"))</f>
        <v>✅ Normal</v>
      </c>
      <c r="I33" s="61" t="str">
        <f>IF(AND(Raw_Data!O34&gt;=0,Raw_Data!O34&lt;=1),"✅ Valid","❌ Invalid")</f>
        <v>✅ Valid</v>
      </c>
      <c r="J33" s="61" t="str">
        <f t="shared" si="0"/>
        <v>✅ Clean</v>
      </c>
    </row>
    <row r="34" ht="15" customHeight="1" spans="1:10">
      <c r="A34" s="96" t="str">
        <f>Raw_Data!A35</f>
        <v>Chandigarh</v>
      </c>
      <c r="B34" s="96" t="str">
        <f>Raw_Data!B35</f>
        <v>North</v>
      </c>
      <c r="C34" s="96" t="str">
        <f>Raw_Data!C35</f>
        <v>UT</v>
      </c>
      <c r="D34" s="57" t="str">
        <f>IF(AND(Raw_Data!H35&gt;0,Raw_Data!I35&gt;0),IF(ABS((Raw_Data!H35+Raw_Data!I35)-Raw_Data!F35)&lt;1000,"✅ Match","⚠ Mismatch"),"➖ N/A")</f>
        <v>✅ Match</v>
      </c>
      <c r="E34" s="57" t="str">
        <f>IF(AND(Raw_Data!J35&gt;0,Raw_Data!K35&gt;0),IF(ABS((Raw_Data!J35+Raw_Data!K35)-Raw_Data!F35)&lt;5000,"✅ Match","⚠ Mismatch"),"➖ N/A")</f>
        <v>✅ Match</v>
      </c>
      <c r="F34" s="57" t="str">
        <f>IF(AND(Raw_Data!L35&gt;0,Raw_Data!D35&gt;0),IF(ABS(Raw_Data!F35/Raw_Data!D35-Raw_Data!L35)&lt;50,"✅ OK","⚠ Check"),"➖ N/A")</f>
        <v>✅ OK</v>
      </c>
      <c r="G34" s="57" t="str">
        <f>IF(AND(Raw_Data!M35&gt;=0,Raw_Data!M35&lt;=100),"✅ Valid","❌ Out of Range")</f>
        <v>✅ Valid</v>
      </c>
      <c r="H34" s="57" t="str">
        <f>IF(ABS(Raw_Data!N35)&gt;50,"⚠ Unusual",IF(Raw_Data!N35&lt;0,"📉 Decline","✅ Normal"))</f>
        <v>✅ Normal</v>
      </c>
      <c r="I34" s="57" t="str">
        <f>IF(AND(Raw_Data!O35&gt;=0,Raw_Data!O35&lt;=1),"✅ Valid","❌ Invalid")</f>
        <v>✅ Valid</v>
      </c>
      <c r="J34" s="57" t="str">
        <f t="shared" si="0"/>
        <v>✅ Clean</v>
      </c>
    </row>
    <row r="35" ht="15" customHeight="1" spans="1:10">
      <c r="A35" s="95" t="str">
        <f>Raw_Data!A36</f>
        <v>Dadra &amp; NH / DD</v>
      </c>
      <c r="B35" s="95" t="str">
        <f>Raw_Data!B36</f>
        <v>West</v>
      </c>
      <c r="C35" s="95" t="str">
        <f>Raw_Data!C36</f>
        <v>UT</v>
      </c>
      <c r="D35" s="61" t="str">
        <f>IF(AND(Raw_Data!H36&gt;0,Raw_Data!I36&gt;0),IF(ABS((Raw_Data!H36+Raw_Data!I36)-Raw_Data!F36)&lt;1000,"✅ Match","⚠ Mismatch"),"➖ N/A")</f>
        <v>✅ Match</v>
      </c>
      <c r="E35" s="61" t="str">
        <f>IF(AND(Raw_Data!J36&gt;0,Raw_Data!K36&gt;0),IF(ABS((Raw_Data!J36+Raw_Data!K36)-Raw_Data!F36)&lt;5000,"✅ Match","⚠ Mismatch"),"➖ N/A")</f>
        <v>✅ Match</v>
      </c>
      <c r="F35" s="61" t="str">
        <f>IF(AND(Raw_Data!L36&gt;0,Raw_Data!D36&gt;0),IF(ABS(Raw_Data!F36/Raw_Data!D36-Raw_Data!L36)&lt;50,"✅ OK","⚠ Check"),"➖ N/A")</f>
        <v>⚠ Check</v>
      </c>
      <c r="G35" s="61" t="str">
        <f>IF(AND(Raw_Data!M36&gt;=0,Raw_Data!M36&lt;=100),"✅ Valid","❌ Out of Range")</f>
        <v>✅ Valid</v>
      </c>
      <c r="H35" s="61" t="str">
        <f>IF(ABS(Raw_Data!N36)&gt;50,"⚠ Unusual",IF(Raw_Data!N36&lt;0,"📉 Decline","✅ Normal"))</f>
        <v>⚠ Unusual</v>
      </c>
      <c r="I35" s="61" t="str">
        <f>IF(AND(Raw_Data!O36&gt;=0,Raw_Data!O36&lt;=1),"✅ Valid","❌ Invalid")</f>
        <v>✅ Valid</v>
      </c>
      <c r="J35" s="61" t="str">
        <f t="shared" si="0"/>
        <v>✅ Clean</v>
      </c>
    </row>
    <row r="36" ht="15" customHeight="1" spans="1:10">
      <c r="A36" s="96" t="str">
        <f>Raw_Data!A37</f>
        <v>Andaman &amp; Nicobar</v>
      </c>
      <c r="B36" s="96" t="str">
        <f>Raw_Data!B37</f>
        <v>East</v>
      </c>
      <c r="C36" s="96" t="str">
        <f>Raw_Data!C37</f>
        <v>UT</v>
      </c>
      <c r="D36" s="57" t="str">
        <f>IF(AND(Raw_Data!H37&gt;0,Raw_Data!I37&gt;0),IF(ABS((Raw_Data!H37+Raw_Data!I37)-Raw_Data!F37)&lt;1000,"✅ Match","⚠ Mismatch"),"➖ N/A")</f>
        <v>✅ Match</v>
      </c>
      <c r="E36" s="57" t="str">
        <f>IF(AND(Raw_Data!J37&gt;0,Raw_Data!K37&gt;0),IF(ABS((Raw_Data!J37+Raw_Data!K37)-Raw_Data!F37)&lt;5000,"✅ Match","⚠ Mismatch"),"➖ N/A")</f>
        <v>✅ Match</v>
      </c>
      <c r="F36" s="57" t="str">
        <f>IF(AND(Raw_Data!L37&gt;0,Raw_Data!D37&gt;0),IF(ABS(Raw_Data!F37/Raw_Data!D37-Raw_Data!L37)&lt;50,"✅ OK","⚠ Check"),"➖ N/A")</f>
        <v>✅ OK</v>
      </c>
      <c r="G36" s="57" t="str">
        <f>IF(AND(Raw_Data!M37&gt;=0,Raw_Data!M37&lt;=100),"✅ Valid","❌ Out of Range")</f>
        <v>✅ Valid</v>
      </c>
      <c r="H36" s="57" t="str">
        <f>IF(ABS(Raw_Data!N37)&gt;50,"⚠ Unusual",IF(Raw_Data!N37&lt;0,"📉 Decline","✅ Normal"))</f>
        <v>✅ Normal</v>
      </c>
      <c r="I36" s="57" t="str">
        <f>IF(AND(Raw_Data!O37&gt;=0,Raw_Data!O37&lt;=1),"✅ Valid","❌ Invalid")</f>
        <v>✅ Valid</v>
      </c>
      <c r="J36" s="57" t="str">
        <f t="shared" si="0"/>
        <v>✅ Clean</v>
      </c>
    </row>
    <row r="37" ht="15" customHeight="1" spans="1:10">
      <c r="A37" s="95" t="str">
        <f>Raw_Data!A38</f>
        <v>Lakshadweep</v>
      </c>
      <c r="B37" s="95" t="str">
        <f>Raw_Data!B38</f>
        <v>South</v>
      </c>
      <c r="C37" s="95" t="str">
        <f>Raw_Data!C38</f>
        <v>UT</v>
      </c>
      <c r="D37" s="61" t="str">
        <f>IF(AND(Raw_Data!H38&gt;0,Raw_Data!I38&gt;0),IF(ABS((Raw_Data!H38+Raw_Data!I38)-Raw_Data!F38)&lt;1000,"✅ Match","⚠ Mismatch"),"➖ N/A")</f>
        <v>✅ Match</v>
      </c>
      <c r="E37" s="61" t="str">
        <f>IF(AND(Raw_Data!J38&gt;0,Raw_Data!K38&gt;0),IF(ABS((Raw_Data!J38+Raw_Data!K38)-Raw_Data!F38)&lt;5000,"✅ Match","⚠ Mismatch"),"➖ N/A")</f>
        <v>✅ Match</v>
      </c>
      <c r="F37" s="61" t="str">
        <f>IF(AND(Raw_Data!L38&gt;0,Raw_Data!D38&gt;0),IF(ABS(Raw_Data!F38/Raw_Data!D38-Raw_Data!L38)&lt;50,"✅ OK","⚠ Check"),"➖ N/A")</f>
        <v>✅ OK</v>
      </c>
      <c r="G37" s="61" t="str">
        <f>IF(AND(Raw_Data!M38&gt;=0,Raw_Data!M38&lt;=100),"✅ Valid","❌ Out of Range")</f>
        <v>✅ Valid</v>
      </c>
      <c r="H37" s="61" t="str">
        <f>IF(ABS(Raw_Data!N38)&gt;50,"⚠ Unusual",IF(Raw_Data!N38&lt;0,"📉 Decline","✅ Normal"))</f>
        <v>✅ Normal</v>
      </c>
      <c r="I37" s="61" t="str">
        <f>IF(AND(Raw_Data!O38&gt;=0,Raw_Data!O38&lt;=1),"✅ Valid","❌ Invalid")</f>
        <v>✅ Valid</v>
      </c>
      <c r="J37" s="61" t="str">
        <f t="shared" si="0"/>
        <v>✅ Clean</v>
      </c>
    </row>
    <row r="38" ht="15" customHeight="1" spans="1:10">
      <c r="A38" s="96" t="str">
        <f>Raw_Data!A39</f>
        <v>Ladakh</v>
      </c>
      <c r="B38" s="96" t="str">
        <f>Raw_Data!B39</f>
        <v>North</v>
      </c>
      <c r="C38" s="96" t="str">
        <f>Raw_Data!C39</f>
        <v>UT</v>
      </c>
      <c r="D38" s="57" t="str">
        <f>IF(AND(Raw_Data!H39&gt;0,Raw_Data!I39&gt;0),IF(ABS((Raw_Data!H39+Raw_Data!I39)-Raw_Data!F39)&lt;1000,"✅ Match","⚠ Mismatch"),"➖ N/A")</f>
        <v>✅ Match</v>
      </c>
      <c r="E38" s="57" t="str">
        <f>IF(AND(Raw_Data!J39&gt;0,Raw_Data!K39&gt;0),IF(ABS((Raw_Data!J39+Raw_Data!K39)-Raw_Data!F39)&lt;5000,"✅ Match","⚠ Mismatch"),"➖ N/A")</f>
        <v>✅ Match</v>
      </c>
      <c r="F38" s="57" t="str">
        <f>IF(AND(Raw_Data!L39&gt;0,Raw_Data!D39&gt;0),IF(ABS(Raw_Data!F39/Raw_Data!D39-Raw_Data!L39)&lt;50,"✅ OK","⚠ Check"),"➖ N/A")</f>
        <v>✅ OK</v>
      </c>
      <c r="G38" s="57" t="str">
        <f>IF(AND(Raw_Data!M39&gt;=0,Raw_Data!M39&lt;=100),"✅ Valid","❌ Out of Range")</f>
        <v>✅ Valid</v>
      </c>
      <c r="H38" s="57" t="str">
        <f>IF(ABS(Raw_Data!N39)&gt;50,"⚠ Unusual",IF(Raw_Data!N39&lt;0,"📉 Decline","✅ Normal"))</f>
        <v>✅ Normal</v>
      </c>
      <c r="I38" s="57" t="str">
        <f>IF(AND(Raw_Data!O39&gt;=0,Raw_Data!O39&lt;=1),"✅ Valid","❌ Invalid")</f>
        <v>✅ Valid</v>
      </c>
      <c r="J38" s="57" t="str">
        <f t="shared" si="0"/>
        <v>✅ Clean</v>
      </c>
    </row>
  </sheetData>
  <mergeCells count="1">
    <mergeCell ref="A1:J1"/>
  </mergeCells>
  <conditionalFormatting sqref="J3:J38">
    <cfRule type="expression" dxfId="0" priority="2">
      <formula>ISNUMBER(SEARCH("✅",J3))</formula>
    </cfRule>
    <cfRule type="expression" dxfId="1" priority="3">
      <formula>ISNUMBER(SEARCH("⚠",J3))</formula>
    </cfRule>
  </conditionalFormatting>
  <pageMargins left="0.75" right="0.75" top="1" bottom="1" header="0.511811023622047" footer="0.511811023622047"/>
  <pageSetup paperSize="9" orientation="portrait" horizontalDpi="300" verticalDpi="300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F9A825"/>
  </sheetPr>
  <dimension ref="A1:I69"/>
  <sheetViews>
    <sheetView showGridLines="0" workbookViewId="0">
      <selection activeCell="A1" sqref="A1:I1"/>
    </sheetView>
  </sheetViews>
  <sheetFormatPr defaultColWidth="8.67592592592593" defaultRowHeight="14.4"/>
  <cols>
    <col min="1" max="1" width="20" style="1" customWidth="1"/>
    <col min="2" max="6" width="22" style="1" customWidth="1"/>
    <col min="7" max="7" width="10" style="1" customWidth="1"/>
    <col min="8" max="8" width="13" style="1" customWidth="1"/>
    <col min="9" max="9" width="12" style="1" customWidth="1"/>
  </cols>
  <sheetData>
    <row r="1" ht="37.5" customHeight="1" spans="1:9">
      <c r="A1" s="65" t="s">
        <v>104</v>
      </c>
      <c r="B1" s="65"/>
      <c r="C1" s="65"/>
      <c r="D1" s="65"/>
      <c r="E1" s="65"/>
      <c r="F1" s="65"/>
      <c r="G1" s="65"/>
      <c r="H1" s="65"/>
      <c r="I1" s="65"/>
    </row>
    <row r="3" ht="21.75" customHeight="1" spans="1:9">
      <c r="A3" s="31" t="s">
        <v>105</v>
      </c>
      <c r="B3" s="31"/>
      <c r="C3" s="31"/>
      <c r="D3" s="31"/>
      <c r="E3" s="31"/>
      <c r="F3" s="31"/>
      <c r="G3" s="31"/>
      <c r="H3" s="31"/>
      <c r="I3" s="31"/>
    </row>
    <row r="4" ht="15" customHeight="1" spans="1:9">
      <c r="A4" s="85" t="s">
        <v>96</v>
      </c>
      <c r="B4" s="85" t="s">
        <v>3</v>
      </c>
      <c r="C4" s="85" t="s">
        <v>4</v>
      </c>
      <c r="D4" s="85" t="s">
        <v>7</v>
      </c>
      <c r="E4" s="85" t="s">
        <v>8</v>
      </c>
      <c r="F4" s="85" t="s">
        <v>106</v>
      </c>
      <c r="G4" s="85" t="s">
        <v>107</v>
      </c>
      <c r="H4" s="85" t="s">
        <v>13</v>
      </c>
      <c r="I4" s="85" t="s">
        <v>14</v>
      </c>
    </row>
    <row r="5" ht="15" customHeight="1" spans="1:9">
      <c r="A5" s="42" t="s">
        <v>18</v>
      </c>
      <c r="B5" s="57" t="str">
        <f>VLOOKUP(A5,Raw_Data!A:B,2,FALSE())</f>
        <v>North</v>
      </c>
      <c r="C5" s="57" t="str">
        <f>VLOOKUP(A5,Raw_Data!A:C,3,FALSE())</f>
        <v>State</v>
      </c>
      <c r="D5" s="86">
        <f>IFERROR(VLOOKUP(A5,Raw_Data!A:F,6,FALSE()),0)</f>
        <v>199812341</v>
      </c>
      <c r="E5" s="86">
        <f>IFERROR(VLOOKUP(A5,Raw_Data!A:G,7,FALSE()),0)</f>
        <v>235000000</v>
      </c>
      <c r="F5" s="86">
        <f t="shared" ref="F5:F40" si="0">IF(AND(D5&gt;0,E5&gt;0),E5-D5,"")</f>
        <v>35187659</v>
      </c>
      <c r="G5" s="87">
        <f t="shared" ref="G5:G40" si="1">IF(D5&gt;0,F5/D5,"")</f>
        <v>0.176103532063618</v>
      </c>
      <c r="H5" s="55">
        <f>IFERROR(VLOOKUP(A5,Raw_Data!A:L,12,FALSE()),"")</f>
        <v>829</v>
      </c>
      <c r="I5" s="55">
        <f>IFERROR(VLOOKUP(A5,Raw_Data!A:M,13,FALSE()),"")</f>
        <v>67.7</v>
      </c>
    </row>
    <row r="6" ht="15" customHeight="1" spans="1:9">
      <c r="A6" s="46" t="s">
        <v>22</v>
      </c>
      <c r="B6" s="61" t="str">
        <f>VLOOKUP(A6,Raw_Data!A:B,2,FALSE())</f>
        <v>West</v>
      </c>
      <c r="C6" s="61" t="str">
        <f>VLOOKUP(A6,Raw_Data!A:C,3,FALSE())</f>
        <v>State</v>
      </c>
      <c r="D6" s="88">
        <f>IFERROR(VLOOKUP(A6,Raw_Data!A:F,6,FALSE()),0)</f>
        <v>112374333</v>
      </c>
      <c r="E6" s="88">
        <f>IFERROR(VLOOKUP(A6,Raw_Data!A:G,7,FALSE()),0)</f>
        <v>126000000</v>
      </c>
      <c r="F6" s="88">
        <f t="shared" si="0"/>
        <v>13625667</v>
      </c>
      <c r="G6" s="89">
        <f t="shared" si="1"/>
        <v>0.121252483874587</v>
      </c>
      <c r="H6" s="59">
        <f>IFERROR(VLOOKUP(A6,Raw_Data!A:L,12,FALSE()),"")</f>
        <v>365</v>
      </c>
      <c r="I6" s="59">
        <f>IFERROR(VLOOKUP(A6,Raw_Data!A:M,13,FALSE()),"")</f>
        <v>82.9</v>
      </c>
    </row>
    <row r="7" ht="15" customHeight="1" spans="1:9">
      <c r="A7" s="42" t="s">
        <v>25</v>
      </c>
      <c r="B7" s="57" t="str">
        <f>VLOOKUP(A7,Raw_Data!A:B,2,FALSE())</f>
        <v>East</v>
      </c>
      <c r="C7" s="57" t="str">
        <f>VLOOKUP(A7,Raw_Data!A:C,3,FALSE())</f>
        <v>State</v>
      </c>
      <c r="D7" s="86">
        <f>IFERROR(VLOOKUP(A7,Raw_Data!A:F,6,FALSE()),0)</f>
        <v>104099452</v>
      </c>
      <c r="E7" s="86">
        <f>IFERROR(VLOOKUP(A7,Raw_Data!A:G,7,FALSE()),0)</f>
        <v>121000000</v>
      </c>
      <c r="F7" s="86">
        <f t="shared" si="0"/>
        <v>16900548</v>
      </c>
      <c r="G7" s="87">
        <f t="shared" si="1"/>
        <v>0.162350018903077</v>
      </c>
      <c r="H7" s="55">
        <f>IFERROR(VLOOKUP(A7,Raw_Data!A:L,12,FALSE()),"")</f>
        <v>1106</v>
      </c>
      <c r="I7" s="55">
        <f>IFERROR(VLOOKUP(A7,Raw_Data!A:M,13,FALSE()),"")</f>
        <v>63.8</v>
      </c>
    </row>
    <row r="8" ht="15" customHeight="1" spans="1:9">
      <c r="A8" s="46" t="s">
        <v>28</v>
      </c>
      <c r="B8" s="61" t="str">
        <f>VLOOKUP(A8,Raw_Data!A:B,2,FALSE())</f>
        <v>East</v>
      </c>
      <c r="C8" s="61" t="str">
        <f>VLOOKUP(A8,Raw_Data!A:C,3,FALSE())</f>
        <v>State</v>
      </c>
      <c r="D8" s="88">
        <f>IFERROR(VLOOKUP(A8,Raw_Data!A:F,6,FALSE()),0)</f>
        <v>91276115</v>
      </c>
      <c r="E8" s="88">
        <f>IFERROR(VLOOKUP(A8,Raw_Data!A:G,7,FALSE()),0)</f>
        <v>100000000</v>
      </c>
      <c r="F8" s="88">
        <f t="shared" si="0"/>
        <v>8723885</v>
      </c>
      <c r="G8" s="89">
        <f t="shared" si="1"/>
        <v>0.095576865864635</v>
      </c>
      <c r="H8" s="59">
        <f>IFERROR(VLOOKUP(A8,Raw_Data!A:L,12,FALSE()),"")</f>
        <v>1028</v>
      </c>
      <c r="I8" s="59">
        <f>IFERROR(VLOOKUP(A8,Raw_Data!A:M,13,FALSE()),"")</f>
        <v>77.1</v>
      </c>
    </row>
    <row r="9" ht="15" customHeight="1" spans="1:9">
      <c r="A9" s="42" t="s">
        <v>30</v>
      </c>
      <c r="B9" s="57" t="str">
        <f>VLOOKUP(A9,Raw_Data!A:B,2,FALSE())</f>
        <v>Central</v>
      </c>
      <c r="C9" s="57" t="str">
        <f>VLOOKUP(A9,Raw_Data!A:C,3,FALSE())</f>
        <v>State</v>
      </c>
      <c r="D9" s="86">
        <f>IFERROR(VLOOKUP(A9,Raw_Data!A:F,6,FALSE()),0)</f>
        <v>72626809</v>
      </c>
      <c r="E9" s="86">
        <f>IFERROR(VLOOKUP(A9,Raw_Data!A:G,7,FALSE()),0)</f>
        <v>84000000</v>
      </c>
      <c r="F9" s="86">
        <f t="shared" si="0"/>
        <v>11373191</v>
      </c>
      <c r="G9" s="87">
        <f t="shared" si="1"/>
        <v>0.156597696588873</v>
      </c>
      <c r="H9" s="55">
        <f>IFERROR(VLOOKUP(A9,Raw_Data!A:L,12,FALSE()),"")</f>
        <v>236</v>
      </c>
      <c r="I9" s="55">
        <f>IFERROR(VLOOKUP(A9,Raw_Data!A:M,13,FALSE()),"")</f>
        <v>70.6</v>
      </c>
    </row>
    <row r="10" ht="15" customHeight="1" spans="1:9">
      <c r="A10" s="46" t="s">
        <v>33</v>
      </c>
      <c r="B10" s="61" t="str">
        <f>VLOOKUP(A10,Raw_Data!A:B,2,FALSE())</f>
        <v>North</v>
      </c>
      <c r="C10" s="61" t="str">
        <f>VLOOKUP(A10,Raw_Data!A:C,3,FALSE())</f>
        <v>State</v>
      </c>
      <c r="D10" s="88">
        <f>IFERROR(VLOOKUP(A10,Raw_Data!A:F,6,FALSE()),0)</f>
        <v>68548437</v>
      </c>
      <c r="E10" s="88">
        <f>IFERROR(VLOOKUP(A10,Raw_Data!A:G,7,FALSE()),0)</f>
        <v>80000000</v>
      </c>
      <c r="F10" s="88">
        <f t="shared" si="0"/>
        <v>11451563</v>
      </c>
      <c r="G10" s="89">
        <f t="shared" si="1"/>
        <v>0.167057973911207</v>
      </c>
      <c r="H10" s="59">
        <f>IFERROR(VLOOKUP(A10,Raw_Data!A:L,12,FALSE()),"")</f>
        <v>200</v>
      </c>
      <c r="I10" s="59">
        <f>IFERROR(VLOOKUP(A10,Raw_Data!A:M,13,FALSE()),"")</f>
        <v>66.1</v>
      </c>
    </row>
    <row r="11" ht="15" customHeight="1" spans="1:9">
      <c r="A11" s="42" t="s">
        <v>35</v>
      </c>
      <c r="B11" s="57" t="str">
        <f>VLOOKUP(A11,Raw_Data!A:B,2,FALSE())</f>
        <v>South</v>
      </c>
      <c r="C11" s="57" t="str">
        <f>VLOOKUP(A11,Raw_Data!A:C,3,FALSE())</f>
        <v>State</v>
      </c>
      <c r="D11" s="86">
        <f>IFERROR(VLOOKUP(A11,Raw_Data!A:F,6,FALSE()),0)</f>
        <v>72147030</v>
      </c>
      <c r="E11" s="86">
        <f>IFERROR(VLOOKUP(A11,Raw_Data!A:G,7,FALSE()),0)</f>
        <v>80000000</v>
      </c>
      <c r="F11" s="86">
        <f t="shared" si="0"/>
        <v>7852970</v>
      </c>
      <c r="G11" s="87">
        <f t="shared" si="1"/>
        <v>0.10884675363629</v>
      </c>
      <c r="H11" s="55">
        <f>IFERROR(VLOOKUP(A11,Raw_Data!A:L,12,FALSE()),"")</f>
        <v>555</v>
      </c>
      <c r="I11" s="55">
        <f>IFERROR(VLOOKUP(A11,Raw_Data!A:M,13,FALSE()),"")</f>
        <v>80.3</v>
      </c>
    </row>
    <row r="12" ht="15" customHeight="1" spans="1:9">
      <c r="A12" s="46" t="s">
        <v>38</v>
      </c>
      <c r="B12" s="61" t="str">
        <f>VLOOKUP(A12,Raw_Data!A:B,2,FALSE())</f>
        <v>South</v>
      </c>
      <c r="C12" s="61" t="str">
        <f>VLOOKUP(A12,Raw_Data!A:C,3,FALSE())</f>
        <v>State</v>
      </c>
      <c r="D12" s="88">
        <f>IFERROR(VLOOKUP(A12,Raw_Data!A:F,6,FALSE()),0)</f>
        <v>61095297</v>
      </c>
      <c r="E12" s="88">
        <f>IFERROR(VLOOKUP(A12,Raw_Data!A:G,7,FALSE()),0)</f>
        <v>68000000</v>
      </c>
      <c r="F12" s="88">
        <f t="shared" si="0"/>
        <v>6904703</v>
      </c>
      <c r="G12" s="89">
        <f t="shared" si="1"/>
        <v>0.113015294777927</v>
      </c>
      <c r="H12" s="59">
        <f>IFERROR(VLOOKUP(A12,Raw_Data!A:L,12,FALSE()),"")</f>
        <v>319</v>
      </c>
      <c r="I12" s="59">
        <f>IFERROR(VLOOKUP(A12,Raw_Data!A:M,13,FALSE()),"")</f>
        <v>75.6</v>
      </c>
    </row>
    <row r="13" ht="15" customHeight="1" spans="1:9">
      <c r="A13" s="42" t="s">
        <v>40</v>
      </c>
      <c r="B13" s="57" t="str">
        <f>VLOOKUP(A13,Raw_Data!A:B,2,FALSE())</f>
        <v>West</v>
      </c>
      <c r="C13" s="57" t="str">
        <f>VLOOKUP(A13,Raw_Data!A:C,3,FALSE())</f>
        <v>State</v>
      </c>
      <c r="D13" s="86">
        <f>IFERROR(VLOOKUP(A13,Raw_Data!A:F,6,FALSE()),0)</f>
        <v>60439692</v>
      </c>
      <c r="E13" s="86">
        <f>IFERROR(VLOOKUP(A13,Raw_Data!A:G,7,FALSE()),0)</f>
        <v>67000000</v>
      </c>
      <c r="F13" s="86">
        <f t="shared" si="0"/>
        <v>6560308</v>
      </c>
      <c r="G13" s="87">
        <f t="shared" si="1"/>
        <v>0.108543041549583</v>
      </c>
      <c r="H13" s="55">
        <f>IFERROR(VLOOKUP(A13,Raw_Data!A:L,12,FALSE()),"")</f>
        <v>308</v>
      </c>
      <c r="I13" s="55">
        <f>IFERROR(VLOOKUP(A13,Raw_Data!A:M,13,FALSE()),"")</f>
        <v>78</v>
      </c>
    </row>
    <row r="14" ht="15" customHeight="1" spans="1:9">
      <c r="A14" s="46" t="s">
        <v>42</v>
      </c>
      <c r="B14" s="61" t="str">
        <f>VLOOKUP(A14,Raw_Data!A:B,2,FALSE())</f>
        <v>South</v>
      </c>
      <c r="C14" s="61" t="str">
        <f>VLOOKUP(A14,Raw_Data!A:C,3,FALSE())</f>
        <v>State</v>
      </c>
      <c r="D14" s="88">
        <f>IFERROR(VLOOKUP(A14,Raw_Data!A:F,6,FALSE()),0)</f>
        <v>49386799</v>
      </c>
      <c r="E14" s="88">
        <f>IFERROR(VLOOKUP(A14,Raw_Data!A:G,7,FALSE()),0)</f>
        <v>52000000</v>
      </c>
      <c r="F14" s="88">
        <f t="shared" si="0"/>
        <v>2613201</v>
      </c>
      <c r="G14" s="89">
        <f t="shared" si="1"/>
        <v>0.0529129454209008</v>
      </c>
      <c r="H14" s="59">
        <f>IFERROR(VLOOKUP(A14,Raw_Data!A:L,12,FALSE()),"")</f>
        <v>304</v>
      </c>
      <c r="I14" s="59">
        <f>IFERROR(VLOOKUP(A14,Raw_Data!A:M,13,FALSE()),"")</f>
        <v>67.4</v>
      </c>
    </row>
    <row r="15" ht="15" customHeight="1" spans="1:9">
      <c r="A15" s="42" t="s">
        <v>44</v>
      </c>
      <c r="B15" s="57" t="str">
        <f>VLOOKUP(A15,Raw_Data!A:B,2,FALSE())</f>
        <v>South</v>
      </c>
      <c r="C15" s="57" t="str">
        <f>VLOOKUP(A15,Raw_Data!A:C,3,FALSE())</f>
        <v>State</v>
      </c>
      <c r="D15" s="86">
        <f>IFERROR(VLOOKUP(A15,Raw_Data!A:F,6,FALSE()),0)</f>
        <v>35003674</v>
      </c>
      <c r="E15" s="86">
        <f>IFERROR(VLOOKUP(A15,Raw_Data!A:G,7,FALSE()),0)</f>
        <v>39000000</v>
      </c>
      <c r="F15" s="86">
        <f t="shared" si="0"/>
        <v>3996326</v>
      </c>
      <c r="G15" s="87">
        <f t="shared" si="1"/>
        <v>0.114168758399475</v>
      </c>
      <c r="H15" s="55">
        <f>IFERROR(VLOOKUP(A15,Raw_Data!A:L,12,FALSE()),"")</f>
        <v>312</v>
      </c>
      <c r="I15" s="55">
        <f>IFERROR(VLOOKUP(A15,Raw_Data!A:M,13,FALSE()),"")</f>
        <v>66.5</v>
      </c>
    </row>
    <row r="16" ht="15" customHeight="1" spans="1:9">
      <c r="A16" s="46" t="s">
        <v>46</v>
      </c>
      <c r="B16" s="61" t="str">
        <f>VLOOKUP(A16,Raw_Data!A:B,2,FALSE())</f>
        <v>East</v>
      </c>
      <c r="C16" s="61" t="str">
        <f>VLOOKUP(A16,Raw_Data!A:C,3,FALSE())</f>
        <v>State</v>
      </c>
      <c r="D16" s="88">
        <f>IFERROR(VLOOKUP(A16,Raw_Data!A:F,6,FALSE()),0)</f>
        <v>41974218</v>
      </c>
      <c r="E16" s="88">
        <f>IFERROR(VLOOKUP(A16,Raw_Data!A:G,7,FALSE()),0)</f>
        <v>46000000</v>
      </c>
      <c r="F16" s="88">
        <f t="shared" si="0"/>
        <v>4025782</v>
      </c>
      <c r="G16" s="89">
        <f t="shared" si="1"/>
        <v>0.0959108279277532</v>
      </c>
      <c r="H16" s="59">
        <f>IFERROR(VLOOKUP(A16,Raw_Data!A:L,12,FALSE()),"")</f>
        <v>270</v>
      </c>
      <c r="I16" s="59">
        <f>IFERROR(VLOOKUP(A16,Raw_Data!A:M,13,FALSE()),"")</f>
        <v>72.9</v>
      </c>
    </row>
    <row r="17" ht="15" customHeight="1" spans="1:9">
      <c r="A17" s="42" t="s">
        <v>48</v>
      </c>
      <c r="B17" s="57" t="str">
        <f>VLOOKUP(A17,Raw_Data!A:B,2,FALSE())</f>
        <v>South</v>
      </c>
      <c r="C17" s="57" t="str">
        <f>VLOOKUP(A17,Raw_Data!A:C,3,FALSE())</f>
        <v>State</v>
      </c>
      <c r="D17" s="86">
        <f>IFERROR(VLOOKUP(A17,Raw_Data!A:F,6,FALSE()),0)</f>
        <v>33406061</v>
      </c>
      <c r="E17" s="86">
        <f>IFERROR(VLOOKUP(A17,Raw_Data!A:G,7,FALSE()),0)</f>
        <v>35000000</v>
      </c>
      <c r="F17" s="86">
        <f t="shared" si="0"/>
        <v>1593939</v>
      </c>
      <c r="G17" s="87">
        <f t="shared" si="1"/>
        <v>0.047714066019337</v>
      </c>
      <c r="H17" s="55">
        <f>IFERROR(VLOOKUP(A17,Raw_Data!A:L,12,FALSE()),"")</f>
        <v>860</v>
      </c>
      <c r="I17" s="55">
        <f>IFERROR(VLOOKUP(A17,Raw_Data!A:M,13,FALSE()),"")</f>
        <v>94</v>
      </c>
    </row>
    <row r="18" ht="15" customHeight="1" spans="1:9">
      <c r="A18" s="46" t="s">
        <v>50</v>
      </c>
      <c r="B18" s="61" t="str">
        <f>VLOOKUP(A18,Raw_Data!A:B,2,FALSE())</f>
        <v>East</v>
      </c>
      <c r="C18" s="61" t="str">
        <f>VLOOKUP(A18,Raw_Data!A:C,3,FALSE())</f>
        <v>State</v>
      </c>
      <c r="D18" s="88">
        <f>IFERROR(VLOOKUP(A18,Raw_Data!A:F,6,FALSE()),0)</f>
        <v>32988134</v>
      </c>
      <c r="E18" s="88">
        <f>IFERROR(VLOOKUP(A18,Raw_Data!A:G,7,FALSE()),0)</f>
        <v>37000000</v>
      </c>
      <c r="F18" s="88">
        <f t="shared" si="0"/>
        <v>4011866</v>
      </c>
      <c r="G18" s="89">
        <f t="shared" si="1"/>
        <v>0.121615426928968</v>
      </c>
      <c r="H18" s="59">
        <f>IFERROR(VLOOKUP(A18,Raw_Data!A:L,12,FALSE()),"")</f>
        <v>414</v>
      </c>
      <c r="I18" s="59">
        <f>IFERROR(VLOOKUP(A18,Raw_Data!A:M,13,FALSE()),"")</f>
        <v>67.6</v>
      </c>
    </row>
    <row r="19" ht="15" customHeight="1" spans="1:9">
      <c r="A19" s="42" t="s">
        <v>52</v>
      </c>
      <c r="B19" s="57" t="str">
        <f>VLOOKUP(A19,Raw_Data!A:B,2,FALSE())</f>
        <v>Northeast</v>
      </c>
      <c r="C19" s="57" t="str">
        <f>VLOOKUP(A19,Raw_Data!A:C,3,FALSE())</f>
        <v>State</v>
      </c>
      <c r="D19" s="86">
        <f>IFERROR(VLOOKUP(A19,Raw_Data!A:F,6,FALSE()),0)</f>
        <v>31205576</v>
      </c>
      <c r="E19" s="86">
        <f>IFERROR(VLOOKUP(A19,Raw_Data!A:G,7,FALSE()),0)</f>
        <v>35000000</v>
      </c>
      <c r="F19" s="86">
        <f t="shared" si="0"/>
        <v>3794424</v>
      </c>
      <c r="G19" s="87">
        <f t="shared" si="1"/>
        <v>0.121594422740346</v>
      </c>
      <c r="H19" s="55">
        <f>IFERROR(VLOOKUP(A19,Raw_Data!A:L,12,FALSE()),"")</f>
        <v>398</v>
      </c>
      <c r="I19" s="55">
        <f>IFERROR(VLOOKUP(A19,Raw_Data!A:M,13,FALSE()),"")</f>
        <v>73.2</v>
      </c>
    </row>
    <row r="20" ht="15" customHeight="1" spans="1:9">
      <c r="A20" s="46" t="s">
        <v>55</v>
      </c>
      <c r="B20" s="61" t="str">
        <f>VLOOKUP(A20,Raw_Data!A:B,2,FALSE())</f>
        <v>North</v>
      </c>
      <c r="C20" s="61" t="str">
        <f>VLOOKUP(A20,Raw_Data!A:C,3,FALSE())</f>
        <v>State</v>
      </c>
      <c r="D20" s="88">
        <f>IFERROR(VLOOKUP(A20,Raw_Data!A:F,6,FALSE()),0)</f>
        <v>27743338</v>
      </c>
      <c r="E20" s="88">
        <f>IFERROR(VLOOKUP(A20,Raw_Data!A:G,7,FALSE()),0)</f>
        <v>30000000</v>
      </c>
      <c r="F20" s="88">
        <f t="shared" si="0"/>
        <v>2256662</v>
      </c>
      <c r="G20" s="89">
        <f t="shared" si="1"/>
        <v>0.0813406807789315</v>
      </c>
      <c r="H20" s="59">
        <f>IFERROR(VLOOKUP(A20,Raw_Data!A:L,12,FALSE()),"")</f>
        <v>551</v>
      </c>
      <c r="I20" s="59">
        <f>IFERROR(VLOOKUP(A20,Raw_Data!A:M,13,FALSE()),"")</f>
        <v>76.7</v>
      </c>
    </row>
    <row r="21" ht="15" customHeight="1" spans="1:9">
      <c r="A21" s="42" t="s">
        <v>57</v>
      </c>
      <c r="B21" s="57" t="str">
        <f>VLOOKUP(A21,Raw_Data!A:B,2,FALSE())</f>
        <v>North</v>
      </c>
      <c r="C21" s="57" t="str">
        <f>VLOOKUP(A21,Raw_Data!A:C,3,FALSE())</f>
        <v>State</v>
      </c>
      <c r="D21" s="86">
        <f>IFERROR(VLOOKUP(A21,Raw_Data!A:F,6,FALSE()),0)</f>
        <v>25351462</v>
      </c>
      <c r="E21" s="86">
        <f>IFERROR(VLOOKUP(A21,Raw_Data!A:G,7,FALSE()),0)</f>
        <v>28000000</v>
      </c>
      <c r="F21" s="86">
        <f t="shared" si="0"/>
        <v>2648538</v>
      </c>
      <c r="G21" s="87">
        <f t="shared" si="1"/>
        <v>0.10447279135223</v>
      </c>
      <c r="H21" s="55">
        <f>IFERROR(VLOOKUP(A21,Raw_Data!A:L,12,FALSE()),"")</f>
        <v>573</v>
      </c>
      <c r="I21" s="55">
        <f>IFERROR(VLOOKUP(A21,Raw_Data!A:M,13,FALSE()),"")</f>
        <v>76.6</v>
      </c>
    </row>
    <row r="22" ht="15" customHeight="1" spans="1:9">
      <c r="A22" s="46" t="s">
        <v>58</v>
      </c>
      <c r="B22" s="61" t="str">
        <f>VLOOKUP(A22,Raw_Data!A:B,2,FALSE())</f>
        <v>Central</v>
      </c>
      <c r="C22" s="61" t="str">
        <f>VLOOKUP(A22,Raw_Data!A:C,3,FALSE())</f>
        <v>State</v>
      </c>
      <c r="D22" s="88">
        <f>IFERROR(VLOOKUP(A22,Raw_Data!A:F,6,FALSE()),0)</f>
        <v>25545198</v>
      </c>
      <c r="E22" s="88">
        <f>IFERROR(VLOOKUP(A22,Raw_Data!A:G,7,FALSE()),0)</f>
        <v>29000000</v>
      </c>
      <c r="F22" s="88">
        <f t="shared" si="0"/>
        <v>3454802</v>
      </c>
      <c r="G22" s="89">
        <f t="shared" si="1"/>
        <v>0.135242717633271</v>
      </c>
      <c r="H22" s="59">
        <f>IFERROR(VLOOKUP(A22,Raw_Data!A:L,12,FALSE()),"")</f>
        <v>189</v>
      </c>
      <c r="I22" s="59">
        <f>IFERROR(VLOOKUP(A22,Raw_Data!A:M,13,FALSE()),"")</f>
        <v>71</v>
      </c>
    </row>
    <row r="23" ht="15" customHeight="1" spans="1:9">
      <c r="A23" s="42" t="s">
        <v>60</v>
      </c>
      <c r="B23" s="57" t="str">
        <f>VLOOKUP(A23,Raw_Data!A:B,2,FALSE())</f>
        <v>North</v>
      </c>
      <c r="C23" s="57" t="str">
        <f>VLOOKUP(A23,Raw_Data!A:C,3,FALSE())</f>
        <v>State</v>
      </c>
      <c r="D23" s="86">
        <f>IFERROR(VLOOKUP(A23,Raw_Data!A:F,6,FALSE()),0)</f>
        <v>10086292</v>
      </c>
      <c r="E23" s="86">
        <f>IFERROR(VLOOKUP(A23,Raw_Data!A:G,7,FALSE()),0)</f>
        <v>11500000</v>
      </c>
      <c r="F23" s="86">
        <f t="shared" si="0"/>
        <v>1413708</v>
      </c>
      <c r="G23" s="87">
        <f t="shared" si="1"/>
        <v>0.140161319937991</v>
      </c>
      <c r="H23" s="55">
        <f>IFERROR(VLOOKUP(A23,Raw_Data!A:L,12,FALSE()),"")</f>
        <v>189</v>
      </c>
      <c r="I23" s="55">
        <f>IFERROR(VLOOKUP(A23,Raw_Data!A:M,13,FALSE()),"")</f>
        <v>79.6</v>
      </c>
    </row>
    <row r="24" ht="15" customHeight="1" spans="1:9">
      <c r="A24" s="46" t="s">
        <v>62</v>
      </c>
      <c r="B24" s="61" t="str">
        <f>VLOOKUP(A24,Raw_Data!A:B,2,FALSE())</f>
        <v>North</v>
      </c>
      <c r="C24" s="61" t="str">
        <f>VLOOKUP(A24,Raw_Data!A:C,3,FALSE())</f>
        <v>State</v>
      </c>
      <c r="D24" s="88">
        <f>IFERROR(VLOOKUP(A24,Raw_Data!A:F,6,FALSE()),0)</f>
        <v>6864602</v>
      </c>
      <c r="E24" s="88">
        <f>IFERROR(VLOOKUP(A24,Raw_Data!A:G,7,FALSE()),0)</f>
        <v>7500000</v>
      </c>
      <c r="F24" s="88">
        <f t="shared" si="0"/>
        <v>635398</v>
      </c>
      <c r="G24" s="89">
        <f t="shared" si="1"/>
        <v>0.0925615206824809</v>
      </c>
      <c r="H24" s="59">
        <f>IFERROR(VLOOKUP(A24,Raw_Data!A:L,12,FALSE()),"")</f>
        <v>123</v>
      </c>
      <c r="I24" s="59">
        <f>IFERROR(VLOOKUP(A24,Raw_Data!A:M,13,FALSE()),"")</f>
        <v>83.8</v>
      </c>
    </row>
    <row r="25" ht="15" customHeight="1" spans="1:9">
      <c r="A25" s="42" t="s">
        <v>64</v>
      </c>
      <c r="B25" s="57" t="str">
        <f>VLOOKUP(A25,Raw_Data!A:B,2,FALSE())</f>
        <v>Northeast</v>
      </c>
      <c r="C25" s="57" t="str">
        <f>VLOOKUP(A25,Raw_Data!A:C,3,FALSE())</f>
        <v>State</v>
      </c>
      <c r="D25" s="86">
        <f>IFERROR(VLOOKUP(A25,Raw_Data!A:F,6,FALSE()),0)</f>
        <v>3673917</v>
      </c>
      <c r="E25" s="86">
        <f>IFERROR(VLOOKUP(A25,Raw_Data!A:G,7,FALSE()),0)</f>
        <v>4100000</v>
      </c>
      <c r="F25" s="86">
        <f t="shared" si="0"/>
        <v>426083</v>
      </c>
      <c r="G25" s="87">
        <f t="shared" si="1"/>
        <v>0.115975129541576</v>
      </c>
      <c r="H25" s="55">
        <f>IFERROR(VLOOKUP(A25,Raw_Data!A:L,12,FALSE()),"")</f>
        <v>350</v>
      </c>
      <c r="I25" s="55">
        <f>IFERROR(VLOOKUP(A25,Raw_Data!A:M,13,FALSE()),"")</f>
        <v>87.8</v>
      </c>
    </row>
    <row r="26" ht="15" customHeight="1" spans="1:9">
      <c r="A26" s="46" t="s">
        <v>66</v>
      </c>
      <c r="B26" s="61" t="str">
        <f>VLOOKUP(A26,Raw_Data!A:B,2,FALSE())</f>
        <v>Northeast</v>
      </c>
      <c r="C26" s="61" t="str">
        <f>VLOOKUP(A26,Raw_Data!A:C,3,FALSE())</f>
        <v>State</v>
      </c>
      <c r="D26" s="88">
        <f>IFERROR(VLOOKUP(A26,Raw_Data!A:F,6,FALSE()),0)</f>
        <v>2966889</v>
      </c>
      <c r="E26" s="88">
        <f>IFERROR(VLOOKUP(A26,Raw_Data!A:G,7,FALSE()),0)</f>
        <v>3400000</v>
      </c>
      <c r="F26" s="88">
        <f t="shared" si="0"/>
        <v>433111</v>
      </c>
      <c r="G26" s="89">
        <f t="shared" si="1"/>
        <v>0.14598153149646</v>
      </c>
      <c r="H26" s="59">
        <f>IFERROR(VLOOKUP(A26,Raw_Data!A:L,12,FALSE()),"")</f>
        <v>132</v>
      </c>
      <c r="I26" s="59">
        <f>IFERROR(VLOOKUP(A26,Raw_Data!A:M,13,FALSE()),"")</f>
        <v>75.5</v>
      </c>
    </row>
    <row r="27" ht="15" customHeight="1" spans="1:9">
      <c r="A27" s="42" t="s">
        <v>68</v>
      </c>
      <c r="B27" s="57" t="str">
        <f>VLOOKUP(A27,Raw_Data!A:B,2,FALSE())</f>
        <v>Northeast</v>
      </c>
      <c r="C27" s="57" t="str">
        <f>VLOOKUP(A27,Raw_Data!A:C,3,FALSE())</f>
        <v>State</v>
      </c>
      <c r="D27" s="86">
        <f>IFERROR(VLOOKUP(A27,Raw_Data!A:F,6,FALSE()),0)</f>
        <v>2855794</v>
      </c>
      <c r="E27" s="86">
        <f>IFERROR(VLOOKUP(A27,Raw_Data!A:G,7,FALSE()),0)</f>
        <v>3200000</v>
      </c>
      <c r="F27" s="86">
        <f t="shared" si="0"/>
        <v>344206</v>
      </c>
      <c r="G27" s="87">
        <f t="shared" si="1"/>
        <v>0.120529001741722</v>
      </c>
      <c r="H27" s="55">
        <f>IFERROR(VLOOKUP(A27,Raw_Data!A:L,12,FALSE()),"")</f>
        <v>128</v>
      </c>
      <c r="I27" s="55">
        <f>IFERROR(VLOOKUP(A27,Raw_Data!A:M,13,FALSE()),"")</f>
        <v>76.9</v>
      </c>
    </row>
    <row r="28" ht="15" customHeight="1" spans="1:9">
      <c r="A28" s="46" t="s">
        <v>70</v>
      </c>
      <c r="B28" s="61" t="str">
        <f>VLOOKUP(A28,Raw_Data!A:B,2,FALSE())</f>
        <v>Northeast</v>
      </c>
      <c r="C28" s="61" t="str">
        <f>VLOOKUP(A28,Raw_Data!A:C,3,FALSE())</f>
        <v>State</v>
      </c>
      <c r="D28" s="88">
        <f>IFERROR(VLOOKUP(A28,Raw_Data!A:F,6,FALSE()),0)</f>
        <v>1978502</v>
      </c>
      <c r="E28" s="88">
        <f>IFERROR(VLOOKUP(A28,Raw_Data!A:G,7,FALSE()),0)</f>
        <v>2100000</v>
      </c>
      <c r="F28" s="88">
        <f t="shared" si="0"/>
        <v>121498</v>
      </c>
      <c r="G28" s="89">
        <f t="shared" si="1"/>
        <v>0.0614090862682979</v>
      </c>
      <c r="H28" s="59">
        <f>IFERROR(VLOOKUP(A28,Raw_Data!A:L,12,FALSE()),"")</f>
        <v>119</v>
      </c>
      <c r="I28" s="59">
        <f>IFERROR(VLOOKUP(A28,Raw_Data!A:M,13,FALSE()),"")</f>
        <v>80.1</v>
      </c>
    </row>
    <row r="29" ht="15" customHeight="1" spans="1:9">
      <c r="A29" s="42" t="s">
        <v>72</v>
      </c>
      <c r="B29" s="57" t="str">
        <f>VLOOKUP(A29,Raw_Data!A:B,2,FALSE())</f>
        <v>West</v>
      </c>
      <c r="C29" s="57" t="str">
        <f>VLOOKUP(A29,Raw_Data!A:C,3,FALSE())</f>
        <v>State</v>
      </c>
      <c r="D29" s="86">
        <f>IFERROR(VLOOKUP(A29,Raw_Data!A:F,6,FALSE()),0)</f>
        <v>1458545</v>
      </c>
      <c r="E29" s="86">
        <f>IFERROR(VLOOKUP(A29,Raw_Data!A:G,7,FALSE()),0)</f>
        <v>1600000</v>
      </c>
      <c r="F29" s="86">
        <f t="shared" si="0"/>
        <v>141455</v>
      </c>
      <c r="G29" s="87">
        <f t="shared" si="1"/>
        <v>0.0969836378034274</v>
      </c>
      <c r="H29" s="55">
        <f>IFERROR(VLOOKUP(A29,Raw_Data!A:L,12,FALSE()),"")</f>
        <v>394</v>
      </c>
      <c r="I29" s="55">
        <f>IFERROR(VLOOKUP(A29,Raw_Data!A:M,13,FALSE()),"")</f>
        <v>88.7</v>
      </c>
    </row>
    <row r="30" ht="15" customHeight="1" spans="1:9">
      <c r="A30" s="46" t="s">
        <v>74</v>
      </c>
      <c r="B30" s="61" t="str">
        <f>VLOOKUP(A30,Raw_Data!A:B,2,FALSE())</f>
        <v>Northeast</v>
      </c>
      <c r="C30" s="61" t="str">
        <f>VLOOKUP(A30,Raw_Data!A:C,3,FALSE())</f>
        <v>State</v>
      </c>
      <c r="D30" s="88">
        <f>IFERROR(VLOOKUP(A30,Raw_Data!A:F,6,FALSE()),0)</f>
        <v>1383727</v>
      </c>
      <c r="E30" s="88">
        <f>IFERROR(VLOOKUP(A30,Raw_Data!A:G,7,FALSE()),0)</f>
        <v>1600000</v>
      </c>
      <c r="F30" s="88">
        <f t="shared" si="0"/>
        <v>216273</v>
      </c>
      <c r="G30" s="89">
        <f t="shared" si="1"/>
        <v>0.156297448846485</v>
      </c>
      <c r="H30" s="59">
        <f>IFERROR(VLOOKUP(A30,Raw_Data!A:L,12,FALSE()),"")</f>
        <v>17</v>
      </c>
      <c r="I30" s="59">
        <f>IFERROR(VLOOKUP(A30,Raw_Data!A:M,13,FALSE()),"")</f>
        <v>66.9</v>
      </c>
    </row>
    <row r="31" ht="15" customHeight="1" spans="1:9">
      <c r="A31" s="42" t="s">
        <v>76</v>
      </c>
      <c r="B31" s="57" t="str">
        <f>VLOOKUP(A31,Raw_Data!A:B,2,FALSE())</f>
        <v>Northeast</v>
      </c>
      <c r="C31" s="57" t="str">
        <f>VLOOKUP(A31,Raw_Data!A:C,3,FALSE())</f>
        <v>State</v>
      </c>
      <c r="D31" s="86">
        <f>IFERROR(VLOOKUP(A31,Raw_Data!A:F,6,FALSE()),0)</f>
        <v>1097206</v>
      </c>
      <c r="E31" s="86">
        <f>IFERROR(VLOOKUP(A31,Raw_Data!A:G,7,FALSE()),0)</f>
        <v>1250000</v>
      </c>
      <c r="F31" s="86">
        <f t="shared" si="0"/>
        <v>152794</v>
      </c>
      <c r="G31" s="87">
        <f t="shared" si="1"/>
        <v>0.139257350032719</v>
      </c>
      <c r="H31" s="55">
        <f>IFERROR(VLOOKUP(A31,Raw_Data!A:L,12,FALSE()),"")</f>
        <v>52</v>
      </c>
      <c r="I31" s="55">
        <f>IFERROR(VLOOKUP(A31,Raw_Data!A:M,13,FALSE()),"")</f>
        <v>91.6</v>
      </c>
    </row>
    <row r="32" ht="15" customHeight="1" spans="1:9">
      <c r="A32" s="46" t="s">
        <v>78</v>
      </c>
      <c r="B32" s="61" t="str">
        <f>VLOOKUP(A32,Raw_Data!A:B,2,FALSE())</f>
        <v>Northeast</v>
      </c>
      <c r="C32" s="61" t="str">
        <f>VLOOKUP(A32,Raw_Data!A:C,3,FALSE())</f>
        <v>State</v>
      </c>
      <c r="D32" s="88">
        <f>IFERROR(VLOOKUP(A32,Raw_Data!A:F,6,FALSE()),0)</f>
        <v>610577</v>
      </c>
      <c r="E32" s="88">
        <f>IFERROR(VLOOKUP(A32,Raw_Data!A:G,7,FALSE()),0)</f>
        <v>700000</v>
      </c>
      <c r="F32" s="88">
        <f t="shared" si="0"/>
        <v>89423</v>
      </c>
      <c r="G32" s="89">
        <f t="shared" si="1"/>
        <v>0.146456548477915</v>
      </c>
      <c r="H32" s="59">
        <f>IFERROR(VLOOKUP(A32,Raw_Data!A:L,12,FALSE()),"")</f>
        <v>86</v>
      </c>
      <c r="I32" s="59">
        <f>IFERROR(VLOOKUP(A32,Raw_Data!A:M,13,FALSE()),"")</f>
        <v>82.2</v>
      </c>
    </row>
    <row r="33" ht="15" customHeight="1" spans="1:9">
      <c r="A33" s="42" t="s">
        <v>80</v>
      </c>
      <c r="B33" s="57" t="str">
        <f>VLOOKUP(A33,Raw_Data!A:B,2,FALSE())</f>
        <v>North</v>
      </c>
      <c r="C33" s="57" t="str">
        <f>VLOOKUP(A33,Raw_Data!A:C,3,FALSE())</f>
        <v>UT</v>
      </c>
      <c r="D33" s="86">
        <f>IFERROR(VLOOKUP(A33,Raw_Data!A:F,6,FALSE()),0)</f>
        <v>16787941</v>
      </c>
      <c r="E33" s="86">
        <f>IFERROR(VLOOKUP(A33,Raw_Data!A:G,7,FALSE()),0)</f>
        <v>20000000</v>
      </c>
      <c r="F33" s="86">
        <f t="shared" si="0"/>
        <v>3212059</v>
      </c>
      <c r="G33" s="87">
        <f t="shared" si="1"/>
        <v>0.191331325264963</v>
      </c>
      <c r="H33" s="55">
        <f>IFERROR(VLOOKUP(A33,Raw_Data!A:L,12,FALSE()),"")</f>
        <v>11320</v>
      </c>
      <c r="I33" s="55">
        <f>IFERROR(VLOOKUP(A33,Raw_Data!A:M,13,FALSE()),"")</f>
        <v>86.3</v>
      </c>
    </row>
    <row r="34" ht="15" customHeight="1" spans="1:9">
      <c r="A34" s="46" t="s">
        <v>83</v>
      </c>
      <c r="B34" s="61" t="str">
        <f>VLOOKUP(A34,Raw_Data!A:B,2,FALSE())</f>
        <v>North</v>
      </c>
      <c r="C34" s="61" t="str">
        <f>VLOOKUP(A34,Raw_Data!A:C,3,FALSE())</f>
        <v>UT</v>
      </c>
      <c r="D34" s="88">
        <f>IFERROR(VLOOKUP(A34,Raw_Data!A:F,6,FALSE()),0)</f>
        <v>12541302</v>
      </c>
      <c r="E34" s="88">
        <f>IFERROR(VLOOKUP(A34,Raw_Data!A:G,7,FALSE()),0)</f>
        <v>14000000</v>
      </c>
      <c r="F34" s="88">
        <f t="shared" si="0"/>
        <v>1458698</v>
      </c>
      <c r="G34" s="89">
        <f t="shared" si="1"/>
        <v>0.116311528101309</v>
      </c>
      <c r="H34" s="59">
        <f>IFERROR(VLOOKUP(A34,Raw_Data!A:L,12,FALSE()),"")</f>
        <v>297</v>
      </c>
      <c r="I34" s="59">
        <f>IFERROR(VLOOKUP(A34,Raw_Data!A:M,13,FALSE()),"")</f>
        <v>68.7</v>
      </c>
    </row>
    <row r="35" ht="15" customHeight="1" spans="1:9">
      <c r="A35" s="42" t="s">
        <v>85</v>
      </c>
      <c r="B35" s="57" t="str">
        <f>VLOOKUP(A35,Raw_Data!A:B,2,FALSE())</f>
        <v>South</v>
      </c>
      <c r="C35" s="57" t="str">
        <f>VLOOKUP(A35,Raw_Data!A:C,3,FALSE())</f>
        <v>UT</v>
      </c>
      <c r="D35" s="86">
        <f>IFERROR(VLOOKUP(A35,Raw_Data!A:F,6,FALSE()),0)</f>
        <v>1247953</v>
      </c>
      <c r="E35" s="86">
        <f>IFERROR(VLOOKUP(A35,Raw_Data!A:G,7,FALSE()),0)</f>
        <v>1400000</v>
      </c>
      <c r="F35" s="86">
        <f t="shared" si="0"/>
        <v>152047</v>
      </c>
      <c r="G35" s="87">
        <f t="shared" si="1"/>
        <v>0.121837120468479</v>
      </c>
      <c r="H35" s="55">
        <f>IFERROR(VLOOKUP(A35,Raw_Data!A:L,12,FALSE()),"")</f>
        <v>2598</v>
      </c>
      <c r="I35" s="55">
        <f>IFERROR(VLOOKUP(A35,Raw_Data!A:M,13,FALSE()),"")</f>
        <v>86.6</v>
      </c>
    </row>
    <row r="36" ht="15" customHeight="1" spans="1:9">
      <c r="A36" s="46" t="s">
        <v>56</v>
      </c>
      <c r="B36" s="61" t="str">
        <f>VLOOKUP(A36,Raw_Data!A:B,2,FALSE())</f>
        <v>North</v>
      </c>
      <c r="C36" s="61" t="str">
        <f>VLOOKUP(A36,Raw_Data!A:C,3,FALSE())</f>
        <v>UT</v>
      </c>
      <c r="D36" s="88">
        <f>IFERROR(VLOOKUP(A36,Raw_Data!A:F,6,FALSE()),0)</f>
        <v>1055450</v>
      </c>
      <c r="E36" s="88">
        <f>IFERROR(VLOOKUP(A36,Raw_Data!A:G,7,FALSE()),0)</f>
        <v>1200000</v>
      </c>
      <c r="F36" s="88">
        <f t="shared" si="0"/>
        <v>144550</v>
      </c>
      <c r="G36" s="89">
        <f t="shared" si="1"/>
        <v>0.136955800843242</v>
      </c>
      <c r="H36" s="59">
        <f>IFERROR(VLOOKUP(A36,Raw_Data!A:L,12,FALSE()),"")</f>
        <v>9258</v>
      </c>
      <c r="I36" s="59">
        <f>IFERROR(VLOOKUP(A36,Raw_Data!A:M,13,FALSE()),"")</f>
        <v>86.4</v>
      </c>
    </row>
    <row r="37" ht="15" customHeight="1" spans="1:9">
      <c r="A37" s="42" t="s">
        <v>86</v>
      </c>
      <c r="B37" s="57" t="str">
        <f>VLOOKUP(A37,Raw_Data!A:B,2,FALSE())</f>
        <v>West</v>
      </c>
      <c r="C37" s="57" t="str">
        <f>VLOOKUP(A37,Raw_Data!A:C,3,FALSE())</f>
        <v>UT</v>
      </c>
      <c r="D37" s="86">
        <f>IFERROR(VLOOKUP(A37,Raw_Data!A:F,6,FALSE()),0)</f>
        <v>586956</v>
      </c>
      <c r="E37" s="86">
        <f>IFERROR(VLOOKUP(A37,Raw_Data!A:G,7,FALSE()),0)</f>
        <v>750000</v>
      </c>
      <c r="F37" s="86">
        <f t="shared" si="0"/>
        <v>163044</v>
      </c>
      <c r="G37" s="87">
        <f t="shared" si="1"/>
        <v>0.277778913581257</v>
      </c>
      <c r="H37" s="55">
        <f>IFERROR(VLOOKUP(A37,Raw_Data!A:L,12,FALSE()),"")</f>
        <v>698</v>
      </c>
      <c r="I37" s="55">
        <f>IFERROR(VLOOKUP(A37,Raw_Data!A:M,13,FALSE()),"")</f>
        <v>77.7</v>
      </c>
    </row>
    <row r="38" ht="15" customHeight="1" spans="1:9">
      <c r="A38" s="46" t="s">
        <v>88</v>
      </c>
      <c r="B38" s="61" t="str">
        <f>VLOOKUP(A38,Raw_Data!A:B,2,FALSE())</f>
        <v>East</v>
      </c>
      <c r="C38" s="61" t="str">
        <f>VLOOKUP(A38,Raw_Data!A:C,3,FALSE())</f>
        <v>UT</v>
      </c>
      <c r="D38" s="88">
        <f>IFERROR(VLOOKUP(A38,Raw_Data!A:F,6,FALSE()),0)</f>
        <v>380581</v>
      </c>
      <c r="E38" s="88">
        <f>IFERROR(VLOOKUP(A38,Raw_Data!A:G,7,FALSE()),0)</f>
        <v>420000</v>
      </c>
      <c r="F38" s="88">
        <f t="shared" si="0"/>
        <v>39419</v>
      </c>
      <c r="G38" s="89">
        <f t="shared" si="1"/>
        <v>0.103575848505312</v>
      </c>
      <c r="H38" s="59">
        <f>IFERROR(VLOOKUP(A38,Raw_Data!A:L,12,FALSE()),"")</f>
        <v>46</v>
      </c>
      <c r="I38" s="59">
        <f>IFERROR(VLOOKUP(A38,Raw_Data!A:M,13,FALSE()),"")</f>
        <v>86.3</v>
      </c>
    </row>
    <row r="39" ht="15" customHeight="1" spans="1:9">
      <c r="A39" s="42" t="s">
        <v>90</v>
      </c>
      <c r="B39" s="57" t="str">
        <f>VLOOKUP(A39,Raw_Data!A:B,2,FALSE())</f>
        <v>South</v>
      </c>
      <c r="C39" s="57" t="str">
        <f>VLOOKUP(A39,Raw_Data!A:C,3,FALSE())</f>
        <v>UT</v>
      </c>
      <c r="D39" s="86">
        <f>IFERROR(VLOOKUP(A39,Raw_Data!A:F,6,FALSE()),0)</f>
        <v>64473</v>
      </c>
      <c r="E39" s="86">
        <f>IFERROR(VLOOKUP(A39,Raw_Data!A:G,7,FALSE()),0)</f>
        <v>70000</v>
      </c>
      <c r="F39" s="86">
        <f t="shared" si="0"/>
        <v>5527</v>
      </c>
      <c r="G39" s="87">
        <f t="shared" si="1"/>
        <v>0.0857258077024491</v>
      </c>
      <c r="H39" s="55">
        <f>IFERROR(VLOOKUP(A39,Raw_Data!A:L,12,FALSE()),"")</f>
        <v>2013</v>
      </c>
      <c r="I39" s="55">
        <f>IFERROR(VLOOKUP(A39,Raw_Data!A:M,13,FALSE()),"")</f>
        <v>92.3</v>
      </c>
    </row>
    <row r="40" ht="15" customHeight="1" spans="1:9">
      <c r="A40" s="46" t="s">
        <v>92</v>
      </c>
      <c r="B40" s="61" t="str">
        <f>VLOOKUP(A40,Raw_Data!A:B,2,FALSE())</f>
        <v>North</v>
      </c>
      <c r="C40" s="61" t="str">
        <f>VLOOKUP(A40,Raw_Data!A:C,3,FALSE())</f>
        <v>UT</v>
      </c>
      <c r="D40" s="88">
        <f>IFERROR(VLOOKUP(A40,Raw_Data!A:F,6,FALSE()),0)</f>
        <v>274289</v>
      </c>
      <c r="E40" s="88">
        <f>IFERROR(VLOOKUP(A40,Raw_Data!A:G,7,FALSE()),0)</f>
        <v>325000</v>
      </c>
      <c r="F40" s="88">
        <f t="shared" si="0"/>
        <v>50711</v>
      </c>
      <c r="G40" s="89">
        <f t="shared" si="1"/>
        <v>0.184881639438694</v>
      </c>
      <c r="H40" s="59">
        <f>IFERROR(VLOOKUP(A40,Raw_Data!A:L,12,FALSE()),"")</f>
        <v>5</v>
      </c>
      <c r="I40" s="59">
        <f>IFERROR(VLOOKUP(A40,Raw_Data!A:M,13,FALSE()),"")</f>
        <v>77.2</v>
      </c>
    </row>
    <row r="41" ht="21.75" customHeight="1" spans="1:9">
      <c r="A41" s="90" t="s">
        <v>108</v>
      </c>
      <c r="B41" s="90"/>
      <c r="C41" s="90"/>
      <c r="D41" s="90"/>
      <c r="E41" s="90"/>
      <c r="F41" s="90"/>
      <c r="G41" s="90"/>
      <c r="H41" s="90"/>
      <c r="I41" s="90"/>
    </row>
    <row r="42" ht="15" customHeight="1" spans="1:9">
      <c r="A42" s="91" t="s">
        <v>109</v>
      </c>
      <c r="B42" s="91"/>
      <c r="C42" s="91"/>
      <c r="D42" s="92">
        <f>SUM(D5:D40)</f>
        <v>1210938962</v>
      </c>
      <c r="E42" s="92">
        <f>SUM(E5:E40)</f>
        <v>1367115000</v>
      </c>
      <c r="F42" s="92">
        <f>E42-D42</f>
        <v>156176038</v>
      </c>
      <c r="G42" s="93">
        <f>IF(D42&gt;0,F42/D42,"")</f>
        <v>0.12897102405728</v>
      </c>
      <c r="H42" s="94">
        <f>AVERAGEIF(Raw_Data!C:C,"State",Raw_Data!L:L)</f>
        <v>371.678571428571</v>
      </c>
      <c r="I42" s="94">
        <f>AVERAGEIF(Raw_Data!A:A,"&lt;&gt;",Raw_Data!M:M)</f>
        <v>77.85</v>
      </c>
    </row>
    <row r="44" ht="21.75" customHeight="1" spans="1:9">
      <c r="A44" s="31" t="s">
        <v>110</v>
      </c>
      <c r="B44" s="31"/>
      <c r="C44" s="31"/>
      <c r="D44" s="31"/>
      <c r="E44" s="31"/>
      <c r="F44" s="31"/>
      <c r="G44" s="31"/>
      <c r="H44" s="31"/>
      <c r="I44" s="31"/>
    </row>
    <row r="45" ht="15" customHeight="1" spans="1:9">
      <c r="A45" s="75" t="s">
        <v>3</v>
      </c>
      <c r="B45" s="75" t="s">
        <v>111</v>
      </c>
      <c r="C45" s="75" t="s">
        <v>112</v>
      </c>
      <c r="D45" s="75" t="s">
        <v>113</v>
      </c>
      <c r="E45" s="75" t="s">
        <v>114</v>
      </c>
      <c r="F45" s="75" t="s">
        <v>115</v>
      </c>
      <c r="G45" s="75" t="s">
        <v>116</v>
      </c>
      <c r="H45" s="75" t="s">
        <v>117</v>
      </c>
    </row>
    <row r="46" ht="15" customHeight="1" spans="1:9">
      <c r="A46" s="58" t="s">
        <v>19</v>
      </c>
      <c r="B46" s="47">
        <f>COUNTIF(Raw_Data!B:B,A46)</f>
        <v>10</v>
      </c>
      <c r="C46" s="47">
        <f>SUMIF(Raw_Data!B:B,A46,Raw_Data!F:F)</f>
        <v>369065454</v>
      </c>
      <c r="D46" s="47">
        <f>SUMIF(Raw_Data!B:B,A46,Raw_Data!G:G)</f>
        <v>427525000</v>
      </c>
      <c r="E46" s="47">
        <f>SUMIF(Raw_Data!B:B,A46,Raw_Data!H:H)</f>
        <v>105348700</v>
      </c>
      <c r="F46" s="47">
        <f>SUMIF(Raw_Data!B:B,A46,Raw_Data!I:I)</f>
        <v>263716754</v>
      </c>
      <c r="G46" s="49">
        <f>AVERAGEIF(Raw_Data!B:B,A46,Raw_Data!M:M)</f>
        <v>76.91</v>
      </c>
      <c r="H46" s="49">
        <f>AVERAGEIF(Raw_Data!B:B,A46,Raw_Data!L:L)</f>
        <v>2334.5</v>
      </c>
    </row>
    <row r="47" ht="15" customHeight="1" spans="1:9">
      <c r="A47" s="54" t="s">
        <v>36</v>
      </c>
      <c r="B47" s="43">
        <f>COUNTIF(Raw_Data!B:B,A47)</f>
        <v>7</v>
      </c>
      <c r="C47" s="43">
        <f>SUMIF(Raw_Data!B:B,A47,Raw_Data!F:F)</f>
        <v>252351287</v>
      </c>
      <c r="D47" s="43">
        <f>SUMIF(Raw_Data!B:B,A47,Raw_Data!G:G)</f>
        <v>275470000</v>
      </c>
      <c r="E47" s="43">
        <f>SUMIF(Raw_Data!B:B,A47,Raw_Data!H:H)</f>
        <v>105809672</v>
      </c>
      <c r="F47" s="43">
        <f>SUMIF(Raw_Data!B:B,A47,Raw_Data!I:I)</f>
        <v>146541615</v>
      </c>
      <c r="G47" s="45">
        <f>AVERAGEIF(Raw_Data!B:B,A47,Raw_Data!M:M)</f>
        <v>80.3857142857143</v>
      </c>
      <c r="H47" s="45">
        <f>AVERAGEIF(Raw_Data!B:B,A47,Raw_Data!L:L)</f>
        <v>994.428571428571</v>
      </c>
    </row>
    <row r="48" ht="15" customHeight="1" spans="1:9">
      <c r="A48" s="58" t="s">
        <v>26</v>
      </c>
      <c r="B48" s="47">
        <f>COUNTIF(Raw_Data!B:B,A48)</f>
        <v>5</v>
      </c>
      <c r="C48" s="47">
        <f>SUMIF(Raw_Data!B:B,A48,Raw_Data!F:F)</f>
        <v>270718500</v>
      </c>
      <c r="D48" s="47">
        <f>SUMIF(Raw_Data!B:B,A48,Raw_Data!G:G)</f>
        <v>304420000</v>
      </c>
      <c r="E48" s="47">
        <f>SUMIF(Raw_Data!B:B,A48,Raw_Data!H:H)</f>
        <v>55959909</v>
      </c>
      <c r="F48" s="47">
        <f>SUMIF(Raw_Data!B:B,A48,Raw_Data!I:I)</f>
        <v>214758591</v>
      </c>
      <c r="G48" s="49">
        <f>AVERAGEIF(Raw_Data!B:B,A48,Raw_Data!M:M)</f>
        <v>73.54</v>
      </c>
      <c r="H48" s="49">
        <f>AVERAGEIF(Raw_Data!B:B,A48,Raw_Data!L:L)</f>
        <v>572.8</v>
      </c>
    </row>
    <row r="49" ht="15" customHeight="1" spans="1:8">
      <c r="A49" s="54" t="s">
        <v>23</v>
      </c>
      <c r="B49" s="43">
        <f>COUNTIF(Raw_Data!B:B,A49)</f>
        <v>4</v>
      </c>
      <c r="C49" s="43">
        <f>SUMIF(Raw_Data!B:B,A49,Raw_Data!F:F)</f>
        <v>174859526</v>
      </c>
      <c r="D49" s="43">
        <f>SUMIF(Raw_Data!B:B,A49,Raw_Data!G:G)</f>
        <v>195350000</v>
      </c>
      <c r="E49" s="43">
        <f>SUMIF(Raw_Data!B:B,A49,Raw_Data!H:H)</f>
        <v>77643413</v>
      </c>
      <c r="F49" s="43">
        <f>SUMIF(Raw_Data!B:B,A49,Raw_Data!I:I)</f>
        <v>97216113</v>
      </c>
      <c r="G49" s="45">
        <f>AVERAGEIF(Raw_Data!B:B,A49,Raw_Data!M:M)</f>
        <v>81.825</v>
      </c>
      <c r="H49" s="45">
        <f>AVERAGEIF(Raw_Data!B:B,A49,Raw_Data!L:L)</f>
        <v>441.25</v>
      </c>
    </row>
    <row r="50" ht="15" customHeight="1" spans="1:8">
      <c r="A50" s="58" t="s">
        <v>31</v>
      </c>
      <c r="B50" s="47">
        <f>COUNTIF(Raw_Data!B:B,A50)</f>
        <v>2</v>
      </c>
      <c r="C50" s="47">
        <f>SUMIF(Raw_Data!B:B,A50,Raw_Data!F:F)</f>
        <v>98172007</v>
      </c>
      <c r="D50" s="47">
        <f>SUMIF(Raw_Data!B:B,A50,Raw_Data!G:G)</f>
        <v>113000000</v>
      </c>
      <c r="E50" s="47">
        <f>SUMIF(Raw_Data!B:B,A50,Raw_Data!H:H)</f>
        <v>25998028</v>
      </c>
      <c r="F50" s="47">
        <f>SUMIF(Raw_Data!B:B,A50,Raw_Data!I:I)</f>
        <v>72173979</v>
      </c>
      <c r="G50" s="49">
        <f>AVERAGEIF(Raw_Data!B:B,A50,Raw_Data!M:M)</f>
        <v>70.8</v>
      </c>
      <c r="H50" s="49">
        <f>AVERAGEIF(Raw_Data!B:B,A50,Raw_Data!L:L)</f>
        <v>212.5</v>
      </c>
    </row>
    <row r="51" ht="15" customHeight="1" spans="1:8">
      <c r="A51" s="54" t="s">
        <v>53</v>
      </c>
      <c r="B51" s="43">
        <f>COUNTIF(Raw_Data!B:B,A51)</f>
        <v>8</v>
      </c>
      <c r="C51" s="43">
        <f>SUMIF(Raw_Data!B:B,A51,Raw_Data!F:F)</f>
        <v>45772188</v>
      </c>
      <c r="D51" s="43">
        <f>SUMIF(Raw_Data!B:B,A51,Raw_Data!G:G)</f>
        <v>51350000</v>
      </c>
      <c r="E51" s="43">
        <f>SUMIF(Raw_Data!B:B,A51,Raw_Data!H:H)</f>
        <v>8382177</v>
      </c>
      <c r="F51" s="43">
        <f>SUMIF(Raw_Data!B:B,A51,Raw_Data!I:I)</f>
        <v>37390011</v>
      </c>
      <c r="G51" s="45">
        <f>AVERAGEIF(Raw_Data!B:B,A51,Raw_Data!M:M)</f>
        <v>79.275</v>
      </c>
      <c r="H51" s="45">
        <f>AVERAGEIF(Raw_Data!B:B,A51,Raw_Data!L:L)</f>
        <v>160.25</v>
      </c>
    </row>
    <row r="55" ht="21.75" customHeight="1" spans="1:8">
      <c r="A55" s="31" t="s">
        <v>118</v>
      </c>
      <c r="B55" s="31"/>
      <c r="C55" s="31"/>
      <c r="D55" s="31"/>
      <c r="E55" s="31"/>
      <c r="F55" s="31"/>
      <c r="G55" s="31"/>
    </row>
    <row r="56" ht="15" customHeight="1" spans="1:8">
      <c r="A56" s="75" t="s">
        <v>4</v>
      </c>
      <c r="B56" s="75" t="s">
        <v>119</v>
      </c>
      <c r="C56" s="75" t="s">
        <v>112</v>
      </c>
      <c r="D56" s="75" t="s">
        <v>114</v>
      </c>
      <c r="E56" s="75" t="s">
        <v>115</v>
      </c>
      <c r="F56" s="75" t="s">
        <v>120</v>
      </c>
      <c r="G56" s="75" t="s">
        <v>121</v>
      </c>
    </row>
    <row r="57" ht="15" customHeight="1" spans="1:8">
      <c r="A57" s="54" t="s">
        <v>122</v>
      </c>
      <c r="B57" s="43">
        <f>COUNTIF(Raw_Data!C:C,"State")</f>
        <v>28</v>
      </c>
      <c r="C57" s="43">
        <f>SUMIF(Raw_Data!C:C,"State",Raw_Data!F:F)</f>
        <v>1178000017</v>
      </c>
      <c r="D57" s="43">
        <f>SUMIF(Raw_Data!C:C,"State",Raw_Data!H:H)</f>
        <v>357057299</v>
      </c>
      <c r="E57" s="43">
        <f>SUMIF(Raw_Data!C:C,"State",Raw_Data!I:I)</f>
        <v>820942718</v>
      </c>
      <c r="F57" s="44">
        <f>IF(C57&gt;0,D57/C57,0)</f>
        <v>0.303104663707318</v>
      </c>
      <c r="G57" s="44">
        <f>IF(C57&gt;0,E57/C57,0)</f>
        <v>0.696895336292682</v>
      </c>
    </row>
    <row r="58" ht="15" customHeight="1" spans="1:8">
      <c r="A58" s="58" t="s">
        <v>123</v>
      </c>
      <c r="B58" s="47">
        <f>COUNTIF(Raw_Data!C:C,"UT")</f>
        <v>8</v>
      </c>
      <c r="C58" s="47">
        <f>SUMIF(Raw_Data!C:C,"UT",Raw_Data!F:F)</f>
        <v>32938945</v>
      </c>
      <c r="D58" s="47">
        <f>SUMIF(Raw_Data!C:C,"UT",Raw_Data!H:H)</f>
        <v>22084600</v>
      </c>
      <c r="E58" s="47">
        <f>SUMIF(Raw_Data!C:C,"UT",Raw_Data!I:I)</f>
        <v>10854345</v>
      </c>
      <c r="F58" s="48">
        <f>IF(C58&gt;0,D58/C58,0)</f>
        <v>0.670470775551555</v>
      </c>
      <c r="G58" s="48">
        <f>IF(C58&gt;0,E58/C58,0)</f>
        <v>0.329529224448445</v>
      </c>
    </row>
    <row r="59" ht="15" customHeight="1" spans="1:8">
      <c r="A59" s="54" t="s">
        <v>124</v>
      </c>
      <c r="B59" s="43">
        <f>COUNTA(Raw_Data!A4:A39)</f>
        <v>36</v>
      </c>
      <c r="C59" s="43">
        <f>SUM(Raw_Data!F4:F39)</f>
        <v>1210938962</v>
      </c>
      <c r="D59" s="43">
        <f>SUM(Raw_Data!H4:H39)</f>
        <v>379141899</v>
      </c>
      <c r="E59" s="43">
        <f>SUM(Raw_Data!I4:I39)</f>
        <v>831797063</v>
      </c>
      <c r="F59" s="44">
        <f>IF(C59&gt;0,D59/C59,0)</f>
        <v>0.313097448259329</v>
      </c>
      <c r="G59" s="44">
        <f>IF(C59&gt;0,E59/C59,0)</f>
        <v>0.686902551740671</v>
      </c>
    </row>
    <row r="63" ht="21.75" customHeight="1" spans="1:8">
      <c r="A63" s="31" t="s">
        <v>125</v>
      </c>
      <c r="B63" s="31"/>
      <c r="C63" s="31"/>
      <c r="D63" s="31"/>
      <c r="E63" s="31"/>
      <c r="F63" s="31"/>
    </row>
    <row r="64" ht="15" customHeight="1" spans="1:8">
      <c r="A64" s="75" t="s">
        <v>126</v>
      </c>
      <c r="B64" s="75" t="s">
        <v>127</v>
      </c>
      <c r="C64" s="75" t="s">
        <v>128</v>
      </c>
      <c r="D64" s="75" t="s">
        <v>129</v>
      </c>
      <c r="E64" s="75" t="s">
        <v>130</v>
      </c>
      <c r="F64" s="75" t="s">
        <v>131</v>
      </c>
    </row>
    <row r="65" ht="15" customHeight="1" spans="1:6">
      <c r="A65" s="54" t="s">
        <v>132</v>
      </c>
      <c r="B65" s="57" t="str">
        <f>INDEX(Raw_Data!$A$4:$A$39,MATCH(LARGE(Raw_Data!$G$4:$G$39,1),Raw_Data!$G$4:$G$39,0))</f>
        <v>Uttar Pradesh</v>
      </c>
      <c r="C65" s="57" t="str">
        <f>INDEX(Raw_Data!$A$4:$A$39,MATCH(LARGE(Raw_Data!$G$4:$G$39,2),Raw_Data!$G$4:$G$39,0))</f>
        <v>Maharashtra</v>
      </c>
      <c r="D65" s="57" t="str">
        <f>INDEX(Raw_Data!$A$4:$A$39,MATCH(LARGE(Raw_Data!$G$4:$G$39,3),Raw_Data!$G$4:$G$39,0))</f>
        <v>Bihar</v>
      </c>
      <c r="E65" s="57" t="str">
        <f>INDEX(Raw_Data!$A$4:$A$39,MATCH(LARGE(Raw_Data!$G$4:$G$39,4),Raw_Data!$G$4:$G$39,0))</f>
        <v>West Bengal</v>
      </c>
      <c r="F65" s="57" t="str">
        <f>INDEX(Raw_Data!$A$4:$A$39,MATCH(LARGE(Raw_Data!$G$4:$G$39,5),Raw_Data!$G$4:$G$39,0))</f>
        <v>Madhya Pradesh</v>
      </c>
    </row>
    <row r="66" ht="15" customHeight="1" spans="1:6">
      <c r="A66" s="58" t="s">
        <v>133</v>
      </c>
      <c r="B66" s="61" t="str">
        <f>INDEX(Raw_Data!$A$4:$A$39,MATCH(LARGE(Raw_Data!$L$4:$L$39,1),Raw_Data!$L$4:$L$39,0))</f>
        <v>Delhi</v>
      </c>
      <c r="C66" s="61" t="str">
        <f>INDEX(Raw_Data!$A$4:$A$39,MATCH(LARGE(Raw_Data!$L$4:$L$39,2),Raw_Data!$L$4:$L$39,0))</f>
        <v>Chandigarh</v>
      </c>
      <c r="D66" s="61" t="str">
        <f>INDEX(Raw_Data!$A$4:$A$39,MATCH(LARGE(Raw_Data!$L$4:$L$39,3),Raw_Data!$L$4:$L$39,0))</f>
        <v>Puducherry</v>
      </c>
      <c r="E66" s="61" t="str">
        <f>INDEX(Raw_Data!$A$4:$A$39,MATCH(LARGE(Raw_Data!$L$4:$L$39,4),Raw_Data!$L$4:$L$39,0))</f>
        <v>Lakshadweep</v>
      </c>
      <c r="F66" s="61" t="str">
        <f>INDEX(Raw_Data!$A$4:$A$39,MATCH(LARGE(Raw_Data!$L$4:$L$39,5),Raw_Data!$L$4:$L$39,0))</f>
        <v>Bihar</v>
      </c>
    </row>
    <row r="67" ht="15" customHeight="1" spans="1:6">
      <c r="A67" s="54" t="s">
        <v>134</v>
      </c>
      <c r="B67" s="57" t="str">
        <f>INDEX(Raw_Data!$A$4:$A$39,MATCH(LARGE(Raw_Data!$M$4:$M$39,1),Raw_Data!$M$4:$M$39,0))</f>
        <v>Kerala</v>
      </c>
      <c r="C67" s="57" t="str">
        <f>INDEX(Raw_Data!$A$4:$A$39,MATCH(LARGE(Raw_Data!$M$4:$M$39,2),Raw_Data!$M$4:$M$39,0))</f>
        <v>Lakshadweep</v>
      </c>
      <c r="D67" s="57" t="str">
        <f>INDEX(Raw_Data!$A$4:$A$39,MATCH(LARGE(Raw_Data!$M$4:$M$39,3),Raw_Data!$M$4:$M$39,0))</f>
        <v>Mizoram</v>
      </c>
      <c r="E67" s="57" t="str">
        <f>INDEX(Raw_Data!$A$4:$A$39,MATCH(LARGE(Raw_Data!$M$4:$M$39,4),Raw_Data!$M$4:$M$39,0))</f>
        <v>Goa</v>
      </c>
      <c r="F67" s="57" t="str">
        <f>INDEX(Raw_Data!$A$4:$A$39,MATCH(LARGE(Raw_Data!$M$4:$M$39,5),Raw_Data!$M$4:$M$39,0))</f>
        <v>Tripura</v>
      </c>
    </row>
    <row r="68" ht="15" customHeight="1" spans="1:6">
      <c r="A68" s="58" t="s">
        <v>135</v>
      </c>
      <c r="B68" s="61" t="str">
        <f>INDEX(Raw_Data!$A$4:$A$39,MATCH(LARGE(Raw_Data!$N$4:$N$39,1),Raw_Data!$N$4:$N$39,0))</f>
        <v>Dadra &amp; NH / DD</v>
      </c>
      <c r="C68" s="61" t="str">
        <f>INDEX(Raw_Data!$A$4:$A$39,MATCH(LARGE(Raw_Data!$N$4:$N$39,2),Raw_Data!$N$4:$N$39,0))</f>
        <v>Manipur</v>
      </c>
      <c r="D68" s="61" t="str">
        <f>INDEX(Raw_Data!$A$4:$A$39,MATCH(LARGE(Raw_Data!$N$4:$N$39,3),Raw_Data!$N$4:$N$39,0))</f>
        <v>Puducherry</v>
      </c>
      <c r="E68" s="61" t="str">
        <f>INDEX(Raw_Data!$A$4:$A$39,MATCH(LARGE(Raw_Data!$N$4:$N$39,4),Raw_Data!$N$4:$N$39,0))</f>
        <v>Meghalaya</v>
      </c>
      <c r="F68" s="61" t="str">
        <f>INDEX(Raw_Data!$A$4:$A$39,MATCH(LARGE(Raw_Data!$N$4:$N$39,5),Raw_Data!$N$4:$N$39,0))</f>
        <v>Arunachal Pradesh</v>
      </c>
    </row>
    <row r="69" ht="15" customHeight="1" spans="1:6">
      <c r="A69" s="54" t="s">
        <v>136</v>
      </c>
      <c r="B69" s="57" t="str">
        <f>INDEX(Raw_Data!$A$4:$A$39,MATCH(LARGE(Raw_Data!$O$4:$O$39,1),Raw_Data!$O$4:$O$39,0))</f>
        <v>Kerala</v>
      </c>
      <c r="C69" s="57" t="str">
        <f>INDEX(Raw_Data!$A$4:$A$39,MATCH(LARGE(Raw_Data!$O$4:$O$39,2),Raw_Data!$O$4:$O$39,0))</f>
        <v>Chandigarh</v>
      </c>
      <c r="D69" s="57" t="str">
        <f>INDEX(Raw_Data!$A$4:$A$39,MATCH(LARGE(Raw_Data!$O$4:$O$39,3),Raw_Data!$O$4:$O$39,0))</f>
        <v>Goa</v>
      </c>
      <c r="E69" s="57" t="str">
        <f>INDEX(Raw_Data!$A$4:$A$39,MATCH(LARGE(Raw_Data!$O$4:$O$39,4),Raw_Data!$O$4:$O$39,0))</f>
        <v>Maharashtra</v>
      </c>
      <c r="F69" s="57" t="str">
        <f>INDEX(Raw_Data!$A$4:$A$39,MATCH(LARGE(Raw_Data!$O$4:$O$39,5),Raw_Data!$O$4:$O$39,0))</f>
        <v>Delhi</v>
      </c>
    </row>
  </sheetData>
  <mergeCells count="6">
    <mergeCell ref="A1:I1"/>
    <mergeCell ref="A3:I3"/>
    <mergeCell ref="A41:I41"/>
    <mergeCell ref="A44:I44"/>
    <mergeCell ref="A55:G55"/>
    <mergeCell ref="A63:F63"/>
  </mergeCells>
  <pageMargins left="0.75" right="0.75" top="1" bottom="1" header="0.511811023622047" footer="0.511811023622047"/>
  <pageSetup paperSize="9" orientation="portrait" horizontalDpi="300" verticalDpi="300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000080"/>
  </sheetPr>
  <dimension ref="A1:J24"/>
  <sheetViews>
    <sheetView showGridLines="0" workbookViewId="0">
      <selection activeCell="A1" sqref="A1:J1"/>
    </sheetView>
  </sheetViews>
  <sheetFormatPr defaultColWidth="8.67592592592593" defaultRowHeight="14.4"/>
  <cols>
    <col min="1" max="1" width="16" style="1" customWidth="1"/>
    <col min="2" max="2" width="12" style="1" customWidth="1"/>
    <col min="3" max="4" width="16" style="1" customWidth="1"/>
    <col min="5" max="5" width="10" style="1" customWidth="1"/>
    <col min="6" max="6" width="16" style="1" customWidth="1"/>
    <col min="7" max="8" width="13" style="1" customWidth="1"/>
  </cols>
  <sheetData>
    <row r="1" ht="37.5" customHeight="1" spans="1:10">
      <c r="A1" s="65" t="s">
        <v>137</v>
      </c>
      <c r="B1" s="65"/>
      <c r="C1" s="65"/>
      <c r="D1" s="65"/>
      <c r="E1" s="65"/>
      <c r="F1" s="65"/>
      <c r="G1" s="65"/>
      <c r="H1" s="65"/>
      <c r="I1" s="65"/>
      <c r="J1" s="65"/>
    </row>
    <row r="3" ht="21.75" customHeight="1" spans="1:10">
      <c r="A3" s="31" t="s">
        <v>138</v>
      </c>
      <c r="B3" s="31"/>
      <c r="C3" s="31"/>
      <c r="D3" s="31"/>
      <c r="E3" s="31"/>
      <c r="F3" s="31"/>
    </row>
    <row r="4" ht="15" customHeight="1" spans="1:10">
      <c r="A4" s="75" t="s">
        <v>3</v>
      </c>
      <c r="B4" s="75" t="s">
        <v>139</v>
      </c>
      <c r="C4" s="75" t="s">
        <v>140</v>
      </c>
      <c r="D4" s="75" t="s">
        <v>141</v>
      </c>
      <c r="E4" s="75" t="s">
        <v>142</v>
      </c>
      <c r="F4" s="75" t="s">
        <v>143</v>
      </c>
    </row>
    <row r="5" ht="15" customHeight="1" spans="1:10">
      <c r="A5" s="54" t="s">
        <v>19</v>
      </c>
      <c r="B5" s="43">
        <f>SUMIF(Raw_Data!B:B,A5,Raw_Data!E:E)</f>
        <v>307671042</v>
      </c>
      <c r="C5" s="43">
        <f>SUMIF(Raw_Data!B:B,A5,Raw_Data!F:F)</f>
        <v>369065454</v>
      </c>
      <c r="D5" s="43">
        <f>SUMIF(Raw_Data!B:B,A5,Raw_Data!G:G)</f>
        <v>427525000</v>
      </c>
      <c r="E5" s="76">
        <f t="shared" ref="E5:E11" si="0">IF(B5&gt;0,(C5-B5)/B5,0)</f>
        <v>0.19954563029692</v>
      </c>
      <c r="F5" s="76">
        <f t="shared" ref="F5:F10" si="1">IF(C5&gt;0,(D5-C5)/C5,0)</f>
        <v>0.158398856805492</v>
      </c>
    </row>
    <row r="6" ht="15" customHeight="1" spans="1:10">
      <c r="A6" s="58" t="s">
        <v>36</v>
      </c>
      <c r="B6" s="47">
        <f>SUMIF(Raw_Data!B:B,A6,Raw_Data!E:E)</f>
        <v>224342617</v>
      </c>
      <c r="C6" s="47">
        <f>SUMIF(Raw_Data!B:B,A6,Raw_Data!F:F)</f>
        <v>252351287</v>
      </c>
      <c r="D6" s="47">
        <f>SUMIF(Raw_Data!B:B,A6,Raw_Data!G:G)</f>
        <v>275470000</v>
      </c>
      <c r="E6" s="77">
        <f t="shared" si="0"/>
        <v>0.124847745713869</v>
      </c>
      <c r="F6" s="77">
        <f t="shared" si="1"/>
        <v>0.0916132161434152</v>
      </c>
    </row>
    <row r="7" ht="15" customHeight="1" spans="1:10">
      <c r="A7" s="54" t="s">
        <v>26</v>
      </c>
      <c r="B7" s="43">
        <f>SUMIF(Raw_Data!B:B,A7,Raw_Data!E:E)</f>
        <v>227281347</v>
      </c>
      <c r="C7" s="43">
        <f>SUMIF(Raw_Data!B:B,A7,Raw_Data!F:F)</f>
        <v>270718500</v>
      </c>
      <c r="D7" s="43">
        <f>SUMIF(Raw_Data!B:B,A7,Raw_Data!G:G)</f>
        <v>304420000</v>
      </c>
      <c r="E7" s="76">
        <f t="shared" si="0"/>
        <v>0.191116224773166</v>
      </c>
      <c r="F7" s="76">
        <f t="shared" si="1"/>
        <v>0.12448909106692</v>
      </c>
    </row>
    <row r="8" ht="15" customHeight="1" spans="1:10">
      <c r="A8" s="58" t="s">
        <v>23</v>
      </c>
      <c r="B8" s="47">
        <f>SUMIF(Raw_Data!B:B,A8,Raw_Data!E:E)</f>
        <v>149117802</v>
      </c>
      <c r="C8" s="47">
        <f>SUMIF(Raw_Data!B:B,A8,Raw_Data!F:F)</f>
        <v>174859526</v>
      </c>
      <c r="D8" s="47">
        <f>SUMIF(Raw_Data!B:B,A8,Raw_Data!G:G)</f>
        <v>195350000</v>
      </c>
      <c r="E8" s="77">
        <f t="shared" si="0"/>
        <v>0.172626766588204</v>
      </c>
      <c r="F8" s="77">
        <f t="shared" si="1"/>
        <v>0.117182486243272</v>
      </c>
    </row>
    <row r="9" ht="15" customHeight="1" spans="1:10">
      <c r="A9" s="54" t="s">
        <v>31</v>
      </c>
      <c r="B9" s="43">
        <f>SUMIF(Raw_Data!B:B,A9,Raw_Data!E:E)</f>
        <v>81181826</v>
      </c>
      <c r="C9" s="43">
        <f>SUMIF(Raw_Data!B:B,A9,Raw_Data!F:F)</f>
        <v>98172007</v>
      </c>
      <c r="D9" s="43">
        <f>SUMIF(Raw_Data!B:B,A9,Raw_Data!G:G)</f>
        <v>113000000</v>
      </c>
      <c r="E9" s="76">
        <f t="shared" si="0"/>
        <v>0.209285524077766</v>
      </c>
      <c r="F9" s="76">
        <f t="shared" si="1"/>
        <v>0.151040947955765</v>
      </c>
    </row>
    <row r="10" ht="15" customHeight="1" spans="1:10">
      <c r="A10" s="58" t="s">
        <v>53</v>
      </c>
      <c r="B10" s="47">
        <f>SUMIF(Raw_Data!B:B,A10,Raw_Data!E:E)</f>
        <v>38857769</v>
      </c>
      <c r="C10" s="47">
        <f>SUMIF(Raw_Data!B:B,A10,Raw_Data!F:F)</f>
        <v>45772188</v>
      </c>
      <c r="D10" s="47">
        <f>SUMIF(Raw_Data!B:B,A10,Raw_Data!G:G)</f>
        <v>51350000</v>
      </c>
      <c r="E10" s="77">
        <f t="shared" si="0"/>
        <v>0.177941739269694</v>
      </c>
      <c r="F10" s="77">
        <f t="shared" si="1"/>
        <v>0.1218602877363</v>
      </c>
    </row>
    <row r="11" ht="15" customHeight="1" spans="1:10">
      <c r="A11" s="78" t="s">
        <v>109</v>
      </c>
      <c r="B11" s="79">
        <f>SUM(Raw_Data!E4:RAW4)</f>
        <v>1000635861.496</v>
      </c>
      <c r="C11" s="79">
        <f>SUM(Raw_Data!F4:RAW4)</f>
        <v>834437940.496</v>
      </c>
      <c r="D11" s="79">
        <f>SUM(Raw_Data!G4:RAW4)</f>
        <v>634625599.496</v>
      </c>
      <c r="E11" s="80">
        <f t="shared" si="0"/>
        <v>-0.166092309295737</v>
      </c>
      <c r="F11" s="80">
        <f>IF(B11&gt;0,(D11-C11)/C11,0)</f>
        <v>-0.239457401566891</v>
      </c>
    </row>
    <row r="13" ht="21.75" customHeight="1" spans="1:10">
      <c r="A13" s="31" t="s">
        <v>144</v>
      </c>
      <c r="B13" s="31"/>
      <c r="C13" s="31"/>
      <c r="D13" s="31"/>
      <c r="E13" s="31"/>
      <c r="F13" s="31"/>
      <c r="G13" s="31"/>
      <c r="H13" s="31"/>
    </row>
    <row r="14" ht="15" customHeight="1" spans="1:10">
      <c r="A14" s="75" t="s">
        <v>4</v>
      </c>
      <c r="B14" s="75" t="s">
        <v>145</v>
      </c>
      <c r="C14" s="75" t="s">
        <v>146</v>
      </c>
      <c r="D14" s="75" t="s">
        <v>114</v>
      </c>
      <c r="E14" s="75" t="s">
        <v>115</v>
      </c>
      <c r="F14" s="75" t="s">
        <v>120</v>
      </c>
      <c r="G14" s="75" t="s">
        <v>116</v>
      </c>
      <c r="H14" s="75" t="s">
        <v>117</v>
      </c>
    </row>
    <row r="15" ht="15" customHeight="1" spans="1:10">
      <c r="A15" s="81" t="s">
        <v>119</v>
      </c>
      <c r="B15" s="43">
        <f>COUNTIF(Raw_Data!C:C,"State")</f>
        <v>28</v>
      </c>
      <c r="C15" s="43">
        <f>SUMIF(Raw_Data!C:C,"State",Raw_Data!F:F)</f>
        <v>1178000017</v>
      </c>
      <c r="D15" s="43">
        <f>SUMIF(Raw_Data!C:C,"State",Raw_Data!H:H)</f>
        <v>357057299</v>
      </c>
      <c r="E15" s="43">
        <f>SUMIF(Raw_Data!C:C,"State",Raw_Data!I:I)</f>
        <v>820942718</v>
      </c>
      <c r="F15" s="44">
        <f>IF(C15&gt;0,D15/C15,0)</f>
        <v>0.303104663707318</v>
      </c>
      <c r="G15" s="45">
        <f>AVERAGEIF(Raw_Data!C:C,"State",Raw_Data!M:M)</f>
        <v>76.4678571428571</v>
      </c>
      <c r="H15" s="45">
        <f>AVERAGEIF(Raw_Data!C:C,"State",Raw_Data!L:L)</f>
        <v>371.678571428571</v>
      </c>
    </row>
    <row r="16" ht="15" customHeight="1" spans="1:10">
      <c r="A16" s="82" t="s">
        <v>147</v>
      </c>
      <c r="B16" s="47">
        <f>COUNTIF(Raw_Data!C:C,"UT")</f>
        <v>8</v>
      </c>
      <c r="C16" s="47">
        <f>SUMIF(Raw_Data!C:C,"UT",Raw_Data!F:F)</f>
        <v>32938945</v>
      </c>
      <c r="D16" s="47">
        <f>SUMIF(Raw_Data!C:C,"UT",Raw_Data!H:H)</f>
        <v>22084600</v>
      </c>
      <c r="E16" s="47">
        <f>SUMIF(Raw_Data!C:C,"UT",Raw_Data!I:I)</f>
        <v>10854345</v>
      </c>
      <c r="F16" s="48">
        <f>IF(C16&gt;0,D16/C16,0)</f>
        <v>0.670470775551555</v>
      </c>
      <c r="G16" s="49">
        <f>AVERAGEIF(Raw_Data!C:C,"UT",Raw_Data!M:M)</f>
        <v>82.6875</v>
      </c>
      <c r="H16" s="49">
        <f>AVERAGEIF(Raw_Data!C:C,"UT",Raw_Data!L:L)</f>
        <v>3279.375</v>
      </c>
    </row>
    <row r="18" ht="21.75" customHeight="1" spans="1:6">
      <c r="A18" s="31" t="s">
        <v>148</v>
      </c>
      <c r="B18" s="31"/>
      <c r="C18" s="31"/>
      <c r="D18" s="31"/>
      <c r="E18" s="31"/>
      <c r="F18" s="31"/>
    </row>
    <row r="19" ht="15" customHeight="1" spans="1:6">
      <c r="A19" s="75" t="s">
        <v>149</v>
      </c>
      <c r="B19" s="75" t="s">
        <v>150</v>
      </c>
      <c r="C19" s="75" t="s">
        <v>146</v>
      </c>
      <c r="D19" s="75" t="s">
        <v>151</v>
      </c>
      <c r="E19" s="75" t="s">
        <v>152</v>
      </c>
      <c r="F19" s="75" t="s">
        <v>153</v>
      </c>
    </row>
    <row r="20" ht="15" customHeight="1" spans="1:6">
      <c r="A20" s="82" t="s">
        <v>154</v>
      </c>
      <c r="B20" s="47">
        <f>COUNTIFS(Raw_Data!$M$4:$M$39,"&gt;=90",Raw_Data!$M$4:$M$39,"&lt;100")</f>
        <v>3</v>
      </c>
      <c r="C20" s="47">
        <f>SUMIFS(Raw_Data!$F$4:$F$39,Raw_Data!$M$4:$M$39,"&gt;=90",Raw_Data!$M$4:$M$39,"&lt;100")</f>
        <v>34567740</v>
      </c>
      <c r="D20" s="49">
        <f>IFERROR(AVERAGEIFS(Raw_Data!$N$4:$N$39,Raw_Data!$M$4:$M$39,"&gt;=90",Raw_Data!$M$4:$M$39,"&lt;100"),0)</f>
        <v>11.5666666666667</v>
      </c>
      <c r="E20" s="83">
        <f>IFERROR(AVERAGEIFS(Raw_Data!$O$4:$O$39,Raw_Data!$M$4:$M$39,"&gt;=90",Raw_Data!$M$4:$M$39,"&lt;100"),0)</f>
        <v>0.719666666666667</v>
      </c>
      <c r="F20" s="48">
        <f>IFERROR(SUMIFS(Raw_Data!$H$4:$H$39,Raw_Data!$M$4:$M$39,"&gt;=90",Raw_Data!$M$4:$M$39,"&lt;100")/SUMIFS(Raw_Data!$F$4:$F$39,Raw_Data!$M$4:$M$39,"&gt;=90",Raw_Data!$M$4:$M$39,"&lt;100"),0)</f>
        <v>0.478893731554334</v>
      </c>
    </row>
    <row r="21" ht="15" customHeight="1" spans="1:6">
      <c r="A21" s="81" t="s">
        <v>155</v>
      </c>
      <c r="B21" s="43">
        <f>COUNTIFS(Raw_Data!$M$4:$M$39,"&gt;=80",Raw_Data!$M$4:$M$39,"&lt;90")</f>
        <v>11</v>
      </c>
      <c r="C21" s="43">
        <f>SUMIFS(Raw_Data!$F$4:$F$39,Raw_Data!$M$4:$M$39,"&gt;=80",Raw_Data!$M$4:$M$39,"&lt;90")</f>
        <v>218579431</v>
      </c>
      <c r="D21" s="45">
        <f>IFERROR(AVERAGEIFS(Raw_Data!$N$4:$N$39,Raw_Data!$M$4:$M$39,"&gt;=80",Raw_Data!$M$4:$M$39,"&lt;90"),0)</f>
        <v>13.9272727272727</v>
      </c>
      <c r="E21" s="84">
        <f>IFERROR(AVERAGEIFS(Raw_Data!$O$4:$O$39,Raw_Data!$M$4:$M$39,"&gt;=80",Raw_Data!$M$4:$M$39,"&lt;90"),0)</f>
        <v>0.710454545454545</v>
      </c>
      <c r="F21" s="44">
        <f>IFERROR(SUMIFS(Raw_Data!$H$4:$H$39,Raw_Data!$M$4:$M$39,"&gt;=80",Raw_Data!$M$4:$M$39,"&lt;90")/SUMIFS(Raw_Data!$F$4:$F$39,Raw_Data!$M$4:$M$39,"&gt;=80",Raw_Data!$M$4:$M$39,"&lt;90"),0)</f>
        <v>0.491203749176198</v>
      </c>
    </row>
    <row r="22" ht="15" customHeight="1" spans="1:6">
      <c r="A22" s="82" t="s">
        <v>156</v>
      </c>
      <c r="B22" s="47">
        <f>COUNTIFS(Raw_Data!$M$4:$M$39,"&gt;=70",Raw_Data!$M$4:$M$39,"&lt;80")</f>
        <v>14</v>
      </c>
      <c r="C22" s="47">
        <f>SUMIFS(Raw_Data!$F$4:$F$39,Raw_Data!$M$4:$M$39,"&gt;=70",Raw_Data!$M$4:$M$39,"&lt;80")</f>
        <v>454027925</v>
      </c>
      <c r="D22" s="49">
        <f>IFERROR(AVERAGEIFS(Raw_Data!$N$4:$N$39,Raw_Data!$M$4:$M$39,"&gt;=70",Raw_Data!$M$4:$M$39,"&lt;80"),0)</f>
        <v>28.7</v>
      </c>
      <c r="E22" s="83">
        <f>IFERROR(AVERAGEIFS(Raw_Data!$O$4:$O$39,Raw_Data!$M$4:$M$39,"&gt;=70",Raw_Data!$M$4:$M$39,"&lt;80"),0)</f>
        <v>0.651285714285714</v>
      </c>
      <c r="F22" s="48">
        <f>IFERROR(SUMIFS(Raw_Data!$H$4:$H$39,Raw_Data!$M$4:$M$39,"&gt;=70",Raw_Data!$M$4:$M$39,"&lt;80")/SUMIFS(Raw_Data!$F$4:$F$39,Raw_Data!$M$4:$M$39,"&gt;=70",Raw_Data!$M$4:$M$39,"&lt;80"),0)</f>
        <v>0.307936623061236</v>
      </c>
    </row>
    <row r="23" ht="15" customHeight="1" spans="1:6">
      <c r="A23" s="81" t="s">
        <v>157</v>
      </c>
      <c r="B23" s="43">
        <f>COUNTIFS(Raw_Data!$M$4:$M$39,"&gt;=60",Raw_Data!$M$4:$M$39,"&lt;70")</f>
        <v>8</v>
      </c>
      <c r="C23" s="43">
        <f>SUMIFS(Raw_Data!$F$4:$F$39,Raw_Data!$M$4:$M$39,"&gt;=60",Raw_Data!$M$4:$M$39,"&lt;70")</f>
        <v>503763866</v>
      </c>
      <c r="D23" s="45">
        <f>IFERROR(AVERAGEIFS(Raw_Data!$N$4:$N$39,Raw_Data!$M$4:$M$39,"&gt;=60",Raw_Data!$M$4:$M$39,"&lt;70"),0)</f>
        <v>16.2375</v>
      </c>
      <c r="E23" s="84">
        <f>IFERROR(AVERAGEIFS(Raw_Data!$O$4:$O$39,Raw_Data!$M$4:$M$39,"&gt;=60",Raw_Data!$M$4:$M$39,"&lt;70"),0)</f>
        <v>0.62525</v>
      </c>
      <c r="F23" s="44">
        <f>IFERROR(SUMIFS(Raw_Data!$H$4:$H$39,Raw_Data!$M$4:$M$39,"&gt;=60",Raw_Data!$M$4:$M$39,"&lt;70")/SUMIFS(Raw_Data!$F$4:$F$39,Raw_Data!$M$4:$M$39,"&gt;=60",Raw_Data!$M$4:$M$39,"&lt;70"),0)</f>
        <v>0.229092975477523</v>
      </c>
    </row>
    <row r="24" ht="15" customHeight="1" spans="1:6">
      <c r="A24" s="82" t="s">
        <v>158</v>
      </c>
      <c r="B24" s="47">
        <f>COUNTIFS(Raw_Data!$M$4:$M$39,"&gt;=0",Raw_Data!$M$4:$M$39,"&lt;60")</f>
        <v>0</v>
      </c>
      <c r="C24" s="47">
        <f>SUMIFS(Raw_Data!$F$4:$F$39,Raw_Data!$M$4:$M$39,"&gt;=0",Raw_Data!$M$4:$M$39,"&lt;60")</f>
        <v>0</v>
      </c>
      <c r="D24" s="49">
        <f>IFERROR(AVERAGEIFS(Raw_Data!$N$4:$N$39,Raw_Data!$M$4:$M$39,"&gt;=0",Raw_Data!$M$4:$M$39,"&lt;60"),0)</f>
        <v>0</v>
      </c>
      <c r="E24" s="83">
        <f>IFERROR(AVERAGEIFS(Raw_Data!$O$4:$O$39,Raw_Data!$M$4:$M$39,"&gt;=0",Raw_Data!$M$4:$M$39,"&lt;60"),0)</f>
        <v>0</v>
      </c>
      <c r="F24" s="48">
        <f>IFERROR(SUMIFS(Raw_Data!$H$4:$H$39,Raw_Data!$M$4:$M$39,"&gt;=0",Raw_Data!$M$4:$M$39,"&lt;60")/SUMIFS(Raw_Data!$F$4:$F$39,Raw_Data!$M$4:$M$39,"&gt;=0",Raw_Data!$M$4:$M$39,"&lt;60"),0)</f>
        <v>0</v>
      </c>
    </row>
  </sheetData>
  <mergeCells count="4">
    <mergeCell ref="A1:J1"/>
    <mergeCell ref="A3:F3"/>
    <mergeCell ref="A13:H13"/>
    <mergeCell ref="A18:F18"/>
  </mergeCells>
  <pageMargins left="0.75" right="0.75" top="1" bottom="1" header="0.511811023622047" footer="0.511811023622047"/>
  <pageSetup paperSize="9" orientation="portrait" horizontalDpi="300" verticalDpi="300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138808"/>
  </sheetPr>
  <dimension ref="A1:L27"/>
  <sheetViews>
    <sheetView showGridLines="0" tabSelected="1" workbookViewId="0">
      <selection activeCell="G22" sqref="G22"/>
    </sheetView>
  </sheetViews>
  <sheetFormatPr defaultColWidth="8.67592592592593" defaultRowHeight="14.4"/>
  <cols>
    <col min="1" max="1" width="22" style="1" customWidth="1"/>
    <col min="2" max="2" width="14" style="1" customWidth="1"/>
    <col min="3" max="3" width="4" style="1" customWidth="1"/>
    <col min="10" max="10" width="12" style="1" customWidth="1"/>
    <col min="11" max="11" width="14" style="1" customWidth="1"/>
  </cols>
  <sheetData>
    <row r="1" ht="37.5" customHeight="1" spans="1:12">
      <c r="A1" s="65" t="s">
        <v>159</v>
      </c>
      <c r="B1" s="65"/>
      <c r="C1" s="65"/>
      <c r="D1" s="65"/>
      <c r="E1" s="65"/>
      <c r="F1" s="65"/>
      <c r="G1" s="65"/>
      <c r="H1" s="65"/>
      <c r="I1" s="65"/>
      <c r="J1" s="65"/>
      <c r="K1" s="65"/>
      <c r="L1" s="65"/>
    </row>
    <row r="3" ht="21.75" customHeight="1" spans="1:12">
      <c r="A3" s="66" t="s">
        <v>160</v>
      </c>
      <c r="B3" s="66"/>
      <c r="C3" s="66"/>
      <c r="J3" s="66" t="s">
        <v>161</v>
      </c>
      <c r="K3" s="66"/>
      <c r="L3" s="66"/>
    </row>
    <row r="4" ht="15" customHeight="1" spans="1:12">
      <c r="A4" s="67" t="s">
        <v>20</v>
      </c>
      <c r="B4" s="68" t="s">
        <v>162</v>
      </c>
      <c r="J4" s="67" t="s">
        <v>3</v>
      </c>
      <c r="K4" s="69" t="s">
        <v>162</v>
      </c>
    </row>
    <row r="5" ht="15" customHeight="1" spans="1:12">
      <c r="A5" s="5" t="s">
        <v>18</v>
      </c>
      <c r="B5" s="70">
        <f>VLOOKUP(A5,Raw_Data!A:G,7,FALSE())/1000000</f>
        <v>235</v>
      </c>
      <c r="J5" s="71" t="s">
        <v>19</v>
      </c>
      <c r="K5" s="70">
        <f>SUMIF(Raw_Data!B:B,J5,Raw_Data!G:G)/1000000</f>
        <v>427.525</v>
      </c>
    </row>
    <row r="6" ht="15" customHeight="1" spans="1:12">
      <c r="A6" s="4" t="s">
        <v>22</v>
      </c>
      <c r="B6" s="72">
        <f>VLOOKUP(A6,Raw_Data!A:G,7,FALSE())/1000000</f>
        <v>126</v>
      </c>
      <c r="J6" s="73" t="s">
        <v>36</v>
      </c>
      <c r="K6" s="72">
        <f>SUMIF(Raw_Data!B:B,J6,Raw_Data!G:G)/1000000</f>
        <v>275.47</v>
      </c>
    </row>
    <row r="7" ht="15" customHeight="1" spans="1:12">
      <c r="A7" s="5" t="s">
        <v>25</v>
      </c>
      <c r="B7" s="70">
        <f>VLOOKUP(A7,Raw_Data!A:G,7,FALSE())/1000000</f>
        <v>121</v>
      </c>
      <c r="J7" s="71" t="s">
        <v>26</v>
      </c>
      <c r="K7" s="70">
        <f>SUMIF(Raw_Data!B:B,J7,Raw_Data!G:G)/1000000</f>
        <v>304.42</v>
      </c>
    </row>
    <row r="8" ht="15" customHeight="1" spans="1:12">
      <c r="A8" s="4" t="s">
        <v>28</v>
      </c>
      <c r="B8" s="72">
        <f>VLOOKUP(A8,Raw_Data!A:G,7,FALSE())/1000000</f>
        <v>100</v>
      </c>
      <c r="J8" s="73" t="s">
        <v>23</v>
      </c>
      <c r="K8" s="72">
        <f>SUMIF(Raw_Data!B:B,J8,Raw_Data!G:G)/1000000</f>
        <v>195.35</v>
      </c>
    </row>
    <row r="9" ht="15" customHeight="1" spans="1:12">
      <c r="A9" s="5" t="s">
        <v>30</v>
      </c>
      <c r="B9" s="70">
        <f>VLOOKUP(A9,Raw_Data!A:G,7,FALSE())/1000000</f>
        <v>84</v>
      </c>
      <c r="J9" s="71" t="s">
        <v>31</v>
      </c>
      <c r="K9" s="70">
        <f>SUMIF(Raw_Data!B:B,J9,Raw_Data!G:G)/1000000</f>
        <v>113</v>
      </c>
    </row>
    <row r="10" ht="15" customHeight="1" spans="1:12">
      <c r="A10" s="4" t="s">
        <v>33</v>
      </c>
      <c r="B10" s="72">
        <f>VLOOKUP(A10,Raw_Data!A:G,7,FALSE())/1000000</f>
        <v>80</v>
      </c>
      <c r="J10" s="73" t="s">
        <v>53</v>
      </c>
      <c r="K10" s="72">
        <f>SUMIF(Raw_Data!B:B,J10,Raw_Data!G:G)/1000000</f>
        <v>51.35</v>
      </c>
    </row>
    <row r="11" ht="15" customHeight="1" spans="1:12">
      <c r="A11" s="5" t="s">
        <v>35</v>
      </c>
      <c r="B11" s="70">
        <f>VLOOKUP(A11,Raw_Data!A:G,7,FALSE())/1000000</f>
        <v>80</v>
      </c>
    </row>
    <row r="12" ht="15" customHeight="1" spans="1:12">
      <c r="A12" s="4" t="s">
        <v>38</v>
      </c>
      <c r="B12" s="72">
        <f>VLOOKUP(A12,Raw_Data!A:G,7,FALSE())/1000000</f>
        <v>68</v>
      </c>
    </row>
    <row r="13" ht="15" customHeight="1" spans="1:12">
      <c r="A13" s="5" t="s">
        <v>40</v>
      </c>
      <c r="B13" s="70">
        <f>VLOOKUP(A13,Raw_Data!A:G,7,FALSE())/1000000</f>
        <v>67</v>
      </c>
    </row>
    <row r="14" ht="15" customHeight="1" spans="1:12">
      <c r="A14" s="4" t="s">
        <v>42</v>
      </c>
      <c r="B14" s="72">
        <f>VLOOKUP(A14,Raw_Data!A:G,7,FALSE())/1000000</f>
        <v>52</v>
      </c>
    </row>
    <row r="20" ht="21.75" customHeight="1" spans="1:4">
      <c r="A20" s="66" t="s">
        <v>163</v>
      </c>
      <c r="B20" s="66"/>
      <c r="C20" s="66"/>
      <c r="D20" s="66"/>
    </row>
    <row r="21" ht="15" customHeight="1" spans="1:4">
      <c r="A21" s="67" t="s">
        <v>3</v>
      </c>
      <c r="B21" s="74" t="s">
        <v>164</v>
      </c>
      <c r="C21" s="69" t="s">
        <v>165</v>
      </c>
    </row>
    <row r="22" ht="15" customHeight="1" spans="1:4">
      <c r="A22" s="73" t="s">
        <v>19</v>
      </c>
      <c r="B22" s="72">
        <f>SUMIF(Raw_Data!B:B,A22,Raw_Data!H:H)/1000000</f>
        <v>105.3487</v>
      </c>
      <c r="C22" s="72">
        <f>SUMIF(Raw_Data!B:B,A22,Raw_Data!I:I)/1000000</f>
        <v>263.716754</v>
      </c>
    </row>
    <row r="23" ht="15" customHeight="1" spans="1:4">
      <c r="A23" s="71" t="s">
        <v>36</v>
      </c>
      <c r="B23" s="70">
        <f>SUMIF(Raw_Data!B:B,A23,Raw_Data!H:H)/1000000</f>
        <v>105.809672</v>
      </c>
      <c r="C23" s="70">
        <f>SUMIF(Raw_Data!B:B,A23,Raw_Data!I:I)/1000000</f>
        <v>146.541615</v>
      </c>
    </row>
    <row r="24" ht="15" customHeight="1" spans="1:4">
      <c r="A24" s="73" t="s">
        <v>26</v>
      </c>
      <c r="B24" s="72">
        <f>SUMIF(Raw_Data!B:B,A24,Raw_Data!H:H)/1000000</f>
        <v>55.959909</v>
      </c>
      <c r="C24" s="72">
        <f>SUMIF(Raw_Data!B:B,A24,Raw_Data!I:I)/1000000</f>
        <v>214.758591</v>
      </c>
    </row>
    <row r="25" ht="15" customHeight="1" spans="1:4">
      <c r="A25" s="71" t="s">
        <v>23</v>
      </c>
      <c r="B25" s="70">
        <f>SUMIF(Raw_Data!B:B,A25,Raw_Data!H:H)/1000000</f>
        <v>77.643413</v>
      </c>
      <c r="C25" s="70">
        <f>SUMIF(Raw_Data!B:B,A25,Raw_Data!I:I)/1000000</f>
        <v>97.216113</v>
      </c>
    </row>
    <row r="26" ht="15" customHeight="1" spans="1:4">
      <c r="A26" s="73" t="s">
        <v>31</v>
      </c>
      <c r="B26" s="72">
        <f>SUMIF(Raw_Data!B:B,A26,Raw_Data!H:H)/1000000</f>
        <v>25.998028</v>
      </c>
      <c r="C26" s="72">
        <f>SUMIF(Raw_Data!B:B,A26,Raw_Data!I:I)/1000000</f>
        <v>72.173979</v>
      </c>
    </row>
    <row r="27" ht="15" customHeight="1" spans="1:4">
      <c r="A27" s="71" t="s">
        <v>166</v>
      </c>
      <c r="B27" s="70">
        <f>SUMIF(Raw_Data!B:B,A27,Raw_Data!H:H)/1000000</f>
        <v>0</v>
      </c>
      <c r="C27" s="70">
        <f>SUMIF(Raw_Data!B:B,A27,Raw_Data!I:I)/1000000</f>
        <v>0</v>
      </c>
    </row>
  </sheetData>
  <mergeCells count="4">
    <mergeCell ref="A1:L1"/>
    <mergeCell ref="A3:C3"/>
    <mergeCell ref="J3:L3"/>
    <mergeCell ref="A20:D20"/>
  </mergeCells>
  <pageMargins left="0.75" right="0.75" top="1" bottom="1" header="0.511811023622047" footer="0.511811023622047"/>
  <pageSetup paperSize="9" orientation="portrait" horizontalDpi="300" verticalDpi="300"/>
  <headerFooter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E65100"/>
  </sheetPr>
  <dimension ref="B1:S69"/>
  <sheetViews>
    <sheetView showGridLines="0" zoomScale="85" zoomScaleNormal="85" workbookViewId="0">
      <selection activeCell="A1" sqref="A1"/>
    </sheetView>
  </sheetViews>
  <sheetFormatPr defaultColWidth="8.67592592592593" defaultRowHeight="14.4"/>
  <cols>
    <col min="1" max="1" width="2" style="1" customWidth="1"/>
    <col min="2" max="2" width="18" style="1" customWidth="1"/>
    <col min="3" max="3" width="2" style="1" customWidth="1"/>
    <col min="4" max="4" width="16" style="1" customWidth="1"/>
    <col min="5" max="5" width="2" style="1" customWidth="1"/>
    <col min="6" max="6" width="16" style="1" customWidth="1"/>
    <col min="7" max="7" width="2" style="1" customWidth="1"/>
    <col min="8" max="8" width="16" style="1" customWidth="1"/>
    <col min="9" max="9" width="2" style="1" customWidth="1"/>
    <col min="10" max="10" width="16" style="1" customWidth="1"/>
    <col min="11" max="11" width="2" style="1" customWidth="1"/>
    <col min="12" max="12" width="18" style="1" customWidth="1"/>
    <col min="13" max="13" width="2" style="1" customWidth="1"/>
    <col min="14" max="14" width="16" style="1" customWidth="1"/>
    <col min="15" max="15" width="2" style="1" customWidth="1"/>
    <col min="16" max="16" width="16" style="1" customWidth="1"/>
    <col min="17" max="17" width="2" style="1" customWidth="1"/>
    <col min="18" max="18" width="14" style="1" customWidth="1"/>
    <col min="19" max="19" width="2" style="1" customWidth="1"/>
  </cols>
  <sheetData>
    <row r="1" ht="51.75" customHeight="1" spans="2:19">
      <c r="B1" s="11" t="s">
        <v>167</v>
      </c>
      <c r="C1" s="11"/>
      <c r="D1" s="11"/>
      <c r="E1" s="11"/>
      <c r="F1" s="11"/>
      <c r="G1" s="11"/>
      <c r="H1" s="11"/>
      <c r="I1" s="11"/>
      <c r="J1" s="11"/>
      <c r="K1" s="11"/>
      <c r="L1" s="11"/>
      <c r="M1" s="11"/>
      <c r="N1" s="11"/>
      <c r="O1" s="11"/>
      <c r="P1" s="11"/>
      <c r="Q1" s="11"/>
      <c r="R1" s="11"/>
    </row>
    <row r="2" ht="21.75" customHeight="1" spans="2:19">
      <c r="B2" s="12" t="s">
        <v>168</v>
      </c>
      <c r="C2" s="12"/>
      <c r="D2" s="12"/>
      <c r="E2" s="12"/>
      <c r="F2" s="12"/>
      <c r="G2" s="12"/>
      <c r="H2" s="12"/>
      <c r="I2" s="12"/>
      <c r="J2" s="12"/>
      <c r="K2" s="12"/>
      <c r="L2" s="12"/>
      <c r="M2" s="12"/>
      <c r="N2" s="12"/>
      <c r="O2" s="12"/>
      <c r="P2" s="12"/>
      <c r="Q2" s="12"/>
      <c r="R2" s="12"/>
    </row>
    <row r="3" ht="19.5" customHeight="1"/>
    <row r="4" ht="19.5" customHeight="1" spans="2:19">
      <c r="B4" s="13" t="s">
        <v>169</v>
      </c>
      <c r="C4" s="13"/>
      <c r="D4" s="14" t="s">
        <v>170</v>
      </c>
      <c r="E4" s="14"/>
      <c r="F4" s="15" t="s">
        <v>171</v>
      </c>
      <c r="G4" s="15"/>
      <c r="H4" s="16" t="s">
        <v>172</v>
      </c>
      <c r="I4" s="16"/>
      <c r="J4" s="17" t="s">
        <v>173</v>
      </c>
      <c r="K4" s="17"/>
      <c r="L4" s="18" t="s">
        <v>174</v>
      </c>
      <c r="M4" s="18"/>
    </row>
    <row r="5" ht="19.5" customHeight="1" spans="2:19">
      <c r="B5" s="13"/>
      <c r="C5" s="13"/>
      <c r="D5" s="14"/>
      <c r="E5" s="14"/>
      <c r="F5" s="15"/>
      <c r="G5" s="15"/>
      <c r="H5" s="16"/>
      <c r="I5" s="16"/>
      <c r="J5" s="17"/>
      <c r="K5" s="17"/>
      <c r="L5" s="18"/>
      <c r="M5" s="18"/>
    </row>
    <row r="6" ht="19.5" customHeight="1" spans="2:19">
      <c r="B6" s="19" t="str">
        <f ca="1">TEXT(SUMIF(Raw_Data!A$4:RAW4,"&lt;&gt;",Raw_Data!G$4:RAW4)/1000000000,"0.00")&amp;" B"</f>
        <v>0.63 B</v>
      </c>
      <c r="C6" s="19"/>
      <c r="D6" s="20" t="str">
        <f ca="1">TEXT(SUMIF(Raw_Data!A$4:RAW4,"&lt;&gt;",Raw_Data!H$4:RAW4)/1000000,"0")&amp;" M"</f>
        <v>400 M</v>
      </c>
      <c r="E6" s="20"/>
      <c r="F6" s="21" t="str">
        <f ca="1">TEXT(SUMIF(Raw_Data!A$4:RAW4,"&lt;&gt;",Raw_Data!I$4:RAW4)/1000000,"0")&amp;" M"</f>
        <v>355 M</v>
      </c>
      <c r="G6" s="21"/>
      <c r="H6" s="22" t="str">
        <f ca="1">TEXT(AVERAGEIF(Raw_Data!A$4:RAW4,"&lt;&gt;",Raw_Data!M$4:RAW4),"0.0")&amp;" %"</f>
        <v>29.5 %</v>
      </c>
      <c r="I6" s="22"/>
      <c r="J6" s="23" t="str">
        <f>TEXT(AVERAGEIFS(Raw_Data!N$4:RAW4,Raw_Data!N$4:RAW4,"&gt;0"),"0.0")&amp;" %"</f>
        <v>10.4 %</v>
      </c>
      <c r="K6" s="23"/>
      <c r="L6" s="24" t="str">
        <f ca="1">TEXT(AVERAGEIF(Raw_Data!A$4:RAW4,"&lt;&gt;",Raw_Data!L$4:RAW4),"0")&amp;" /km²"</f>
        <v>229 /km²</v>
      </c>
      <c r="M6" s="24"/>
    </row>
    <row r="7" ht="19.5" customHeight="1" spans="2:19">
      <c r="B7" s="19"/>
      <c r="C7" s="19"/>
      <c r="D7" s="20"/>
      <c r="E7" s="20"/>
      <c r="F7" s="21"/>
      <c r="G7" s="21"/>
      <c r="H7" s="22"/>
      <c r="I7" s="22"/>
      <c r="J7" s="23"/>
      <c r="K7" s="23"/>
      <c r="L7" s="24"/>
      <c r="M7" s="24"/>
    </row>
    <row r="8" ht="19.5" customHeight="1" spans="2:19">
      <c r="B8" s="19"/>
      <c r="C8" s="19"/>
      <c r="D8" s="20"/>
      <c r="E8" s="20"/>
      <c r="F8" s="21"/>
      <c r="G8" s="21"/>
      <c r="H8" s="22"/>
      <c r="I8" s="22"/>
      <c r="J8" s="23"/>
      <c r="K8" s="23"/>
      <c r="L8" s="24"/>
      <c r="M8" s="24"/>
    </row>
    <row r="9" ht="19.5" customHeight="1" spans="2:19">
      <c r="B9" s="25" t="s">
        <v>175</v>
      </c>
      <c r="C9" s="25"/>
      <c r="D9" s="26" t="s">
        <v>175</v>
      </c>
      <c r="E9" s="26"/>
      <c r="F9" s="27" t="s">
        <v>175</v>
      </c>
      <c r="G9" s="27"/>
      <c r="H9" s="28" t="s">
        <v>175</v>
      </c>
      <c r="I9" s="28"/>
      <c r="J9" s="29" t="s">
        <v>175</v>
      </c>
      <c r="K9" s="29"/>
      <c r="L9" s="30" t="s">
        <v>175</v>
      </c>
      <c r="M9" s="30"/>
    </row>
    <row r="10" ht="19.5" customHeight="1"/>
    <row r="11" ht="21.75" customHeight="1" spans="2:19">
      <c r="B11" s="31" t="s">
        <v>176</v>
      </c>
      <c r="C11" s="31"/>
      <c r="D11" s="31"/>
      <c r="E11" s="31"/>
      <c r="F11" s="31"/>
      <c r="G11" s="31"/>
      <c r="H11" s="31"/>
      <c r="I11" s="31"/>
      <c r="J11" s="31"/>
      <c r="K11" s="31"/>
      <c r="L11" s="31"/>
      <c r="M11" s="31"/>
      <c r="N11" s="31"/>
      <c r="O11" s="31"/>
      <c r="P11" s="31"/>
      <c r="Q11" s="31"/>
      <c r="R11" s="31"/>
      <c r="S11" s="31"/>
    </row>
    <row r="12" ht="19.5" customHeight="1" spans="2:19">
      <c r="C12" s="32" t="s">
        <v>177</v>
      </c>
      <c r="D12" s="32"/>
      <c r="E12" s="32"/>
      <c r="F12" s="33" t="s">
        <v>48</v>
      </c>
      <c r="G12" s="33"/>
      <c r="H12" s="33"/>
      <c r="I12" s="33"/>
      <c r="J12" s="33"/>
    </row>
    <row r="13" ht="19.5" customHeight="1" spans="2:19">
      <c r="B13" s="34" t="s">
        <v>3</v>
      </c>
      <c r="C13" s="34"/>
      <c r="D13" s="34"/>
      <c r="E13" s="34"/>
      <c r="F13" s="35" t="str">
        <f>IFERROR(VLOOKUP(F12,Raw_Data!A:B,2,FALSE()),"Not Found")</f>
        <v>South</v>
      </c>
      <c r="G13" s="35"/>
      <c r="H13" s="35"/>
      <c r="I13" s="35"/>
      <c r="J13" s="35"/>
    </row>
    <row r="14" ht="19.5" customHeight="1" spans="2:19">
      <c r="B14" s="36" t="s">
        <v>4</v>
      </c>
      <c r="C14" s="36"/>
      <c r="D14" s="36"/>
      <c r="E14" s="36"/>
      <c r="F14" s="35" t="str">
        <f>IFERROR(VLOOKUP(F12,Raw_Data!A:C,3,FALSE()),"Not Found")</f>
        <v>State</v>
      </c>
      <c r="G14" s="35"/>
      <c r="H14" s="35"/>
      <c r="I14" s="35"/>
      <c r="J14" s="35"/>
    </row>
    <row r="15" ht="19.5" customHeight="1" spans="2:19">
      <c r="B15" s="34" t="s">
        <v>5</v>
      </c>
      <c r="C15" s="34"/>
      <c r="D15" s="34"/>
      <c r="E15" s="34"/>
      <c r="F15" s="37">
        <f>IFERROR(VLOOKUP(F12,Raw_Data!A:D,4,FALSE()),"Not Found")</f>
        <v>38852</v>
      </c>
      <c r="G15" s="37"/>
      <c r="H15" s="37"/>
      <c r="I15" s="37"/>
      <c r="J15" s="37"/>
    </row>
    <row r="16" ht="19.5" customHeight="1" spans="2:19">
      <c r="B16" s="36" t="s">
        <v>6</v>
      </c>
      <c r="C16" s="36"/>
      <c r="D16" s="36"/>
      <c r="E16" s="36"/>
      <c r="F16" s="37">
        <f>IFERROR(VLOOKUP(F12,Raw_Data!A:E,5,FALSE()),"Not Found")</f>
        <v>31841374</v>
      </c>
      <c r="G16" s="37"/>
      <c r="H16" s="37"/>
      <c r="I16" s="37"/>
      <c r="J16" s="37"/>
    </row>
    <row r="17" ht="19.5" customHeight="1" spans="2:19">
      <c r="B17" s="34" t="s">
        <v>7</v>
      </c>
      <c r="C17" s="34"/>
      <c r="D17" s="34"/>
      <c r="E17" s="34"/>
      <c r="F17" s="37">
        <f>IFERROR(VLOOKUP(F12,Raw_Data!A:F,6,FALSE()),"Not Found")</f>
        <v>33406061</v>
      </c>
      <c r="G17" s="37"/>
      <c r="H17" s="37"/>
      <c r="I17" s="37"/>
      <c r="J17" s="37"/>
    </row>
    <row r="18" ht="19.5" customHeight="1" spans="2:19">
      <c r="B18" s="36" t="s">
        <v>8</v>
      </c>
      <c r="C18" s="36"/>
      <c r="D18" s="36"/>
      <c r="E18" s="36"/>
      <c r="F18" s="37">
        <f>IFERROR(VLOOKUP(F12,Raw_Data!A:G,7,FALSE()),"Not Found")</f>
        <v>35000000</v>
      </c>
      <c r="G18" s="37"/>
      <c r="H18" s="37"/>
      <c r="I18" s="37"/>
      <c r="J18" s="37"/>
    </row>
    <row r="19" ht="19.5" customHeight="1" spans="2:19">
      <c r="B19" s="34" t="s">
        <v>9</v>
      </c>
      <c r="C19" s="34"/>
      <c r="D19" s="34"/>
      <c r="E19" s="34"/>
      <c r="F19" s="37">
        <f>IFERROR(VLOOKUP(F12,Raw_Data!A:H,8,FALSE()),"Not Found")</f>
        <v>15932171</v>
      </c>
      <c r="G19" s="37"/>
      <c r="H19" s="37"/>
      <c r="I19" s="37"/>
      <c r="J19" s="37"/>
    </row>
    <row r="20" ht="19.5" customHeight="1" spans="2:19">
      <c r="B20" s="36" t="s">
        <v>10</v>
      </c>
      <c r="C20" s="36"/>
      <c r="D20" s="36"/>
      <c r="E20" s="36"/>
      <c r="F20" s="37">
        <f>IFERROR(VLOOKUP(F12,Raw_Data!A:I,9,FALSE()),"Not Found")</f>
        <v>17473890</v>
      </c>
      <c r="G20" s="37"/>
      <c r="H20" s="37"/>
      <c r="I20" s="37"/>
      <c r="J20" s="37"/>
    </row>
    <row r="21" ht="19.5" customHeight="1" spans="2:19">
      <c r="B21" s="34" t="s">
        <v>178</v>
      </c>
      <c r="C21" s="34"/>
      <c r="D21" s="34"/>
      <c r="E21" s="34"/>
      <c r="F21" s="38">
        <f>IFERROR(VLOOKUP(F12,Raw_Data!A:L,12,FALSE()),"Not Found")</f>
        <v>860</v>
      </c>
      <c r="G21" s="38"/>
      <c r="H21" s="38"/>
      <c r="I21" s="38"/>
      <c r="J21" s="38"/>
    </row>
    <row r="22" ht="19.5" customHeight="1" spans="2:19">
      <c r="B22" s="36" t="s">
        <v>14</v>
      </c>
      <c r="C22" s="36"/>
      <c r="D22" s="36"/>
      <c r="E22" s="36"/>
      <c r="F22" s="38">
        <f>IFERROR(VLOOKUP(F12,Raw_Data!A:M,13,FALSE()),"Not Found")</f>
        <v>94</v>
      </c>
      <c r="G22" s="38"/>
      <c r="H22" s="38"/>
      <c r="I22" s="38"/>
      <c r="J22" s="38"/>
    </row>
    <row r="23" ht="19.5" customHeight="1" spans="2:19">
      <c r="B23" s="34" t="s">
        <v>15</v>
      </c>
      <c r="C23" s="34"/>
      <c r="D23" s="34"/>
      <c r="E23" s="34"/>
      <c r="F23" s="38">
        <f>IFERROR(VLOOKUP(F12,Raw_Data!A:N,14,FALSE()),"Not Found")</f>
        <v>4.9</v>
      </c>
      <c r="G23" s="38"/>
      <c r="H23" s="38"/>
      <c r="I23" s="38"/>
      <c r="J23" s="38"/>
    </row>
    <row r="24" ht="19.5" customHeight="1" spans="2:19">
      <c r="B24" s="36" t="s">
        <v>16</v>
      </c>
      <c r="C24" s="36"/>
      <c r="D24" s="36"/>
      <c r="E24" s="36"/>
      <c r="F24" s="39">
        <f>IFERROR(VLOOKUP(F12,Raw_Data!A:O,15,FALSE()),"Not Found")</f>
        <v>0.782</v>
      </c>
      <c r="G24" s="39"/>
      <c r="H24" s="39"/>
      <c r="I24" s="39"/>
      <c r="J24" s="39"/>
    </row>
    <row r="25" ht="19.5" customHeight="1" spans="2:19">
      <c r="B25" s="34" t="s">
        <v>17</v>
      </c>
      <c r="C25" s="34"/>
      <c r="D25" s="34"/>
      <c r="E25" s="34"/>
      <c r="F25" s="35" t="str">
        <f>IFERROR(VLOOKUP(F12,Raw_Data!A:P,16,FALSE()),"Not Found")</f>
        <v>Thiruvananthapuram</v>
      </c>
      <c r="G25" s="35"/>
      <c r="H25" s="35"/>
      <c r="I25" s="35"/>
      <c r="J25" s="35"/>
    </row>
    <row r="26" ht="19.5" customHeight="1" spans="2:19">
      <c r="B26" s="36" t="s">
        <v>120</v>
      </c>
      <c r="C26" s="36"/>
      <c r="D26" s="36"/>
      <c r="E26" s="36"/>
      <c r="F26" s="40">
        <f>IFERROR(VLOOKUP(F12,Raw_Data!A:H,8,FALSE())/VLOOKUP(F12,Raw_Data!A:F,6,FALSE()),"N/A")</f>
        <v>0.476924561683582</v>
      </c>
      <c r="G26" s="40"/>
      <c r="H26" s="40"/>
      <c r="I26" s="40"/>
      <c r="J26" s="40"/>
    </row>
    <row r="27" ht="19.5" customHeight="1"/>
    <row r="28" ht="19.5" customHeight="1"/>
    <row r="29" ht="21.75" customHeight="1" spans="2:19">
      <c r="B29" s="31" t="s">
        <v>179</v>
      </c>
      <c r="C29" s="31"/>
      <c r="D29" s="31"/>
      <c r="E29" s="31"/>
      <c r="F29" s="31"/>
      <c r="G29" s="31"/>
      <c r="H29" s="31"/>
      <c r="I29" s="31"/>
      <c r="J29" s="31"/>
      <c r="K29" s="31"/>
      <c r="L29" s="31"/>
      <c r="M29" s="31"/>
      <c r="N29" s="31"/>
      <c r="O29" s="31"/>
      <c r="P29" s="31"/>
      <c r="Q29" s="31"/>
      <c r="R29" s="31"/>
      <c r="S29" s="31"/>
    </row>
    <row r="30" ht="19.5" customHeight="1" spans="2:19">
      <c r="B30" s="41" t="s">
        <v>3</v>
      </c>
      <c r="C30" s="41" t="s">
        <v>139</v>
      </c>
      <c r="D30" s="41" t="s">
        <v>140</v>
      </c>
      <c r="E30" s="41" t="s">
        <v>141</v>
      </c>
      <c r="F30" s="41" t="s">
        <v>180</v>
      </c>
      <c r="G30" s="41" t="s">
        <v>181</v>
      </c>
      <c r="H30" s="41" t="s">
        <v>182</v>
      </c>
      <c r="I30" s="41" t="s">
        <v>116</v>
      </c>
    </row>
    <row r="31" ht="19.5" customHeight="1" spans="2:19">
      <c r="B31" s="42" t="s">
        <v>19</v>
      </c>
      <c r="C31" s="43">
        <f>SUMIF(Raw_Data!B:B,B31,Raw_Data!E:E)</f>
        <v>307671042</v>
      </c>
      <c r="D31" s="43">
        <f>SUMIF(Raw_Data!B:B,B31,Raw_Data!F:F)</f>
        <v>369065454</v>
      </c>
      <c r="E31" s="43">
        <f>SUMIF(Raw_Data!B:B,B31,Raw_Data!G:G)</f>
        <v>427525000</v>
      </c>
      <c r="F31" s="44">
        <f t="shared" ref="F31:F37" si="0">IF(C31&gt;0,(D31-C31)/C31,0)</f>
        <v>0.19954563029692</v>
      </c>
      <c r="G31" s="44">
        <f t="shared" ref="G31:G37" si="1">IF(D31&gt;0,(E31-D31)/D31,0)</f>
        <v>0.158398856805492</v>
      </c>
      <c r="H31" s="44">
        <f>IFERROR(SUMIF(Raw_Data!B:B,B31,Raw_Data!H:H)/SUMIF(Raw_Data!B:B,B31,Raw_Data!F:F),0)</f>
        <v>0.285447198750821</v>
      </c>
      <c r="I31" s="45">
        <f>AVERAGEIF(Raw_Data!B:B,B31,Raw_Data!M:M)</f>
        <v>76.91</v>
      </c>
    </row>
    <row r="32" ht="19.5" customHeight="1" spans="2:19">
      <c r="B32" s="46" t="s">
        <v>36</v>
      </c>
      <c r="C32" s="47">
        <f>SUMIF(Raw_Data!B:B,B32,Raw_Data!E:E)</f>
        <v>224342617</v>
      </c>
      <c r="D32" s="47">
        <f>SUMIF(Raw_Data!B:B,B32,Raw_Data!F:F)</f>
        <v>252351287</v>
      </c>
      <c r="E32" s="47">
        <f>SUMIF(Raw_Data!B:B,B32,Raw_Data!G:G)</f>
        <v>275470000</v>
      </c>
      <c r="F32" s="48">
        <f t="shared" si="0"/>
        <v>0.124847745713869</v>
      </c>
      <c r="G32" s="48">
        <f t="shared" si="1"/>
        <v>0.0916132161434152</v>
      </c>
      <c r="H32" s="48">
        <f>IFERROR(SUMIF(Raw_Data!B:B,B32,Raw_Data!H:H)/SUMIF(Raw_Data!B:B,B32,Raw_Data!F:F),0)</f>
        <v>0.419295155011434</v>
      </c>
      <c r="I32" s="49">
        <f>AVERAGEIF(Raw_Data!B:B,B32,Raw_Data!M:M)</f>
        <v>80.3857142857143</v>
      </c>
    </row>
    <row r="33" ht="19.5" customHeight="1" spans="2:19">
      <c r="B33" s="42" t="s">
        <v>26</v>
      </c>
      <c r="C33" s="43">
        <f>SUMIF(Raw_Data!B:B,B33,Raw_Data!E:E)</f>
        <v>227281347</v>
      </c>
      <c r="D33" s="43">
        <f>SUMIF(Raw_Data!B:B,B33,Raw_Data!F:F)</f>
        <v>270718500</v>
      </c>
      <c r="E33" s="43">
        <f>SUMIF(Raw_Data!B:B,B33,Raw_Data!G:G)</f>
        <v>304420000</v>
      </c>
      <c r="F33" s="44">
        <f t="shared" si="0"/>
        <v>0.191116224773166</v>
      </c>
      <c r="G33" s="44">
        <f t="shared" si="1"/>
        <v>0.12448909106692</v>
      </c>
      <c r="H33" s="44">
        <f>IFERROR(SUMIF(Raw_Data!B:B,B33,Raw_Data!H:H)/SUMIF(Raw_Data!B:B,B33,Raw_Data!F:F),0)</f>
        <v>0.206708847012672</v>
      </c>
      <c r="I33" s="45">
        <f>AVERAGEIF(Raw_Data!B:B,B33,Raw_Data!M:M)</f>
        <v>73.54</v>
      </c>
    </row>
    <row r="34" ht="19.5" customHeight="1" spans="2:19">
      <c r="B34" s="46" t="s">
        <v>23</v>
      </c>
      <c r="C34" s="47">
        <f>SUMIF(Raw_Data!B:B,B34,Raw_Data!E:E)</f>
        <v>149117802</v>
      </c>
      <c r="D34" s="47">
        <f>SUMIF(Raw_Data!B:B,B34,Raw_Data!F:F)</f>
        <v>174859526</v>
      </c>
      <c r="E34" s="47">
        <f>SUMIF(Raw_Data!B:B,B34,Raw_Data!G:G)</f>
        <v>195350000</v>
      </c>
      <c r="F34" s="48">
        <f t="shared" si="0"/>
        <v>0.172626766588204</v>
      </c>
      <c r="G34" s="48">
        <f t="shared" si="1"/>
        <v>0.117182486243272</v>
      </c>
      <c r="H34" s="48">
        <f>IFERROR(SUMIF(Raw_Data!B:B,B34,Raw_Data!H:H)/SUMIF(Raw_Data!B:B,B34,Raw_Data!F:F),0)</f>
        <v>0.444033074869481</v>
      </c>
      <c r="I34" s="49">
        <f>AVERAGEIF(Raw_Data!B:B,B34,Raw_Data!M:M)</f>
        <v>81.825</v>
      </c>
    </row>
    <row r="35" ht="19.5" customHeight="1" spans="2:19">
      <c r="B35" s="42" t="s">
        <v>31</v>
      </c>
      <c r="C35" s="43">
        <f>SUMIF(Raw_Data!B:B,B35,Raw_Data!E:E)</f>
        <v>81181826</v>
      </c>
      <c r="D35" s="43">
        <f>SUMIF(Raw_Data!B:B,B35,Raw_Data!F:F)</f>
        <v>98172007</v>
      </c>
      <c r="E35" s="43">
        <f>SUMIF(Raw_Data!B:B,B35,Raw_Data!G:G)</f>
        <v>113000000</v>
      </c>
      <c r="F35" s="44">
        <f t="shared" si="0"/>
        <v>0.209285524077766</v>
      </c>
      <c r="G35" s="44">
        <f t="shared" si="1"/>
        <v>0.151040947955765</v>
      </c>
      <c r="H35" s="44">
        <f>IFERROR(SUMIF(Raw_Data!B:B,B35,Raw_Data!H:H)/SUMIF(Raw_Data!B:B,B35,Raw_Data!F:F),0)</f>
        <v>0.264821192868146</v>
      </c>
      <c r="I35" s="45">
        <f>AVERAGEIF(Raw_Data!B:B,B35,Raw_Data!M:M)</f>
        <v>70.8</v>
      </c>
    </row>
    <row r="36" ht="19.5" customHeight="1" spans="2:19">
      <c r="B36" s="46" t="s">
        <v>53</v>
      </c>
      <c r="C36" s="47">
        <f>SUMIF(Raw_Data!B:B,B36,Raw_Data!E:E)</f>
        <v>38857769</v>
      </c>
      <c r="D36" s="47">
        <f>SUMIF(Raw_Data!B:B,B36,Raw_Data!F:F)</f>
        <v>45772188</v>
      </c>
      <c r="E36" s="47">
        <f>SUMIF(Raw_Data!B:B,B36,Raw_Data!G:G)</f>
        <v>51350000</v>
      </c>
      <c r="F36" s="48">
        <f t="shared" si="0"/>
        <v>0.177941739269694</v>
      </c>
      <c r="G36" s="48">
        <f t="shared" si="1"/>
        <v>0.1218602877363</v>
      </c>
      <c r="H36" s="48">
        <f>IFERROR(SUMIF(Raw_Data!B:B,B36,Raw_Data!H:H)/SUMIF(Raw_Data!B:B,B36,Raw_Data!F:F),0)</f>
        <v>0.183128169446477</v>
      </c>
      <c r="I36" s="49">
        <f>AVERAGEIF(Raw_Data!B:B,B36,Raw_Data!M:M)</f>
        <v>79.275</v>
      </c>
    </row>
    <row r="37" ht="19.5" customHeight="1" spans="2:19">
      <c r="B37" s="50" t="s">
        <v>183</v>
      </c>
      <c r="C37" s="51">
        <f>SUM(Raw_Data!E4:E39)</f>
        <v>1028452403</v>
      </c>
      <c r="D37" s="51">
        <f>SUM(Raw_Data!F4:F39)</f>
        <v>1210938962</v>
      </c>
      <c r="E37" s="51">
        <f>SUM(Raw_Data!G4:G39)</f>
        <v>1367115000</v>
      </c>
      <c r="F37" s="52">
        <f t="shared" si="0"/>
        <v>0.177438020921227</v>
      </c>
      <c r="G37" s="52">
        <f t="shared" si="1"/>
        <v>0.12897102405728</v>
      </c>
      <c r="H37" s="52">
        <f>IFERROR(SUM(Raw_Data!H4:H39)/SUM(Raw_Data!F4:F39),0)</f>
        <v>0.313097448259329</v>
      </c>
      <c r="I37" s="53">
        <f>AVERAGEIF(Raw_Data!A4:A39,"&lt;&gt;",Raw_Data!M4:M39)</f>
        <v>77.85</v>
      </c>
    </row>
    <row r="38" ht="19.5" customHeight="1"/>
    <row r="39" ht="21.75" customHeight="1" spans="2:19">
      <c r="B39" s="31" t="s">
        <v>184</v>
      </c>
      <c r="C39" s="31"/>
      <c r="D39" s="31"/>
      <c r="E39" s="31"/>
      <c r="F39" s="31"/>
      <c r="G39" s="31"/>
      <c r="H39" s="31"/>
      <c r="I39" s="31"/>
      <c r="J39" s="31"/>
      <c r="K39" s="31"/>
      <c r="L39" s="31"/>
      <c r="M39" s="31"/>
      <c r="N39" s="31"/>
      <c r="O39" s="31"/>
      <c r="P39" s="31"/>
      <c r="Q39" s="31"/>
      <c r="R39" s="31"/>
      <c r="S39" s="31"/>
    </row>
    <row r="40" ht="19.5" customHeight="1" spans="2:19">
      <c r="B40" s="41" t="s">
        <v>20</v>
      </c>
      <c r="C40" s="41" t="s">
        <v>14</v>
      </c>
      <c r="D40" s="41" t="s">
        <v>16</v>
      </c>
      <c r="E40" s="41" t="s">
        <v>185</v>
      </c>
      <c r="F40" s="41" t="s">
        <v>186</v>
      </c>
      <c r="G40" s="41" t="s">
        <v>187</v>
      </c>
    </row>
    <row r="41" ht="19.5" customHeight="1" spans="2:19">
      <c r="B41" s="54" t="s">
        <v>48</v>
      </c>
      <c r="C41" s="55">
        <f>IFERROR(VLOOKUP(B41,Raw_Data!A:M,13,FALSE()),"")</f>
        <v>94</v>
      </c>
      <c r="D41" s="56">
        <f>IFERROR(VLOOKUP(B41,Raw_Data!A:O,15,FALSE()),"")</f>
        <v>0.782</v>
      </c>
      <c r="E41" s="55">
        <f>IFERROR(VLOOKUP(B41,Raw_Data!A:N,14,FALSE()),"")</f>
        <v>4.9</v>
      </c>
      <c r="F41" s="55">
        <f>IFERROR(VLOOKUP(B41,Raw_Data!A:L,12,FALSE()),"")</f>
        <v>860</v>
      </c>
      <c r="G41" s="57" t="str">
        <f t="shared" ref="G41:G52" si="2">IF(C41&gt;75,"🟢 High Literacy",IF(C41&gt;60,"🟡 Medium","🔴 Low Literacy"))</f>
        <v>🟢 High Literacy</v>
      </c>
    </row>
    <row r="42" ht="19.5" customHeight="1" spans="2:19">
      <c r="B42" s="58" t="s">
        <v>76</v>
      </c>
      <c r="C42" s="59">
        <f>IFERROR(VLOOKUP(B42,Raw_Data!A:M,13,FALSE()),"")</f>
        <v>91.6</v>
      </c>
      <c r="D42" s="60">
        <f>IFERROR(VLOOKUP(B42,Raw_Data!A:O,15,FALSE()),"")</f>
        <v>0.7</v>
      </c>
      <c r="E42" s="59">
        <f>IFERROR(VLOOKUP(B42,Raw_Data!A:N,14,FALSE()),"")</f>
        <v>23.5</v>
      </c>
      <c r="F42" s="59">
        <f>IFERROR(VLOOKUP(B42,Raw_Data!A:L,12,FALSE()),"")</f>
        <v>52</v>
      </c>
      <c r="G42" s="61" t="str">
        <f t="shared" si="2"/>
        <v>🟢 High Literacy</v>
      </c>
    </row>
    <row r="43" ht="19.5" customHeight="1" spans="2:19">
      <c r="B43" s="54" t="s">
        <v>72</v>
      </c>
      <c r="C43" s="55">
        <f>IFERROR(VLOOKUP(B43,Raw_Data!A:M,13,FALSE()),"")</f>
        <v>88.7</v>
      </c>
      <c r="D43" s="56">
        <f>IFERROR(VLOOKUP(B43,Raw_Data!A:O,15,FALSE()),"")</f>
        <v>0.761</v>
      </c>
      <c r="E43" s="55">
        <f>IFERROR(VLOOKUP(B43,Raw_Data!A:N,14,FALSE()),"")</f>
        <v>8.2</v>
      </c>
      <c r="F43" s="55">
        <f>IFERROR(VLOOKUP(B43,Raw_Data!A:L,12,FALSE()),"")</f>
        <v>394</v>
      </c>
      <c r="G43" s="57" t="str">
        <f t="shared" si="2"/>
        <v>🟢 High Literacy</v>
      </c>
    </row>
    <row r="44" ht="19.5" customHeight="1" spans="2:19">
      <c r="B44" s="58" t="s">
        <v>80</v>
      </c>
      <c r="C44" s="59">
        <f>IFERROR(VLOOKUP(B44,Raw_Data!A:M,13,FALSE()),"")</f>
        <v>86.3</v>
      </c>
      <c r="D44" s="60">
        <f>IFERROR(VLOOKUP(B44,Raw_Data!A:O,15,FALSE()),"")</f>
        <v>0.746</v>
      </c>
      <c r="E44" s="59">
        <f>IFERROR(VLOOKUP(B44,Raw_Data!A:N,14,FALSE()),"")</f>
        <v>21.2</v>
      </c>
      <c r="F44" s="59">
        <f>IFERROR(VLOOKUP(B44,Raw_Data!A:L,12,FALSE()),"")</f>
        <v>11320</v>
      </c>
      <c r="G44" s="61" t="str">
        <f t="shared" si="2"/>
        <v>🟢 High Literacy</v>
      </c>
    </row>
    <row r="45" ht="19.5" customHeight="1" spans="2:19">
      <c r="B45" s="54" t="s">
        <v>62</v>
      </c>
      <c r="C45" s="55">
        <f>IFERROR(VLOOKUP(B45,Raw_Data!A:M,13,FALSE()),"")</f>
        <v>83.8</v>
      </c>
      <c r="D45" s="56">
        <f>IFERROR(VLOOKUP(B45,Raw_Data!A:O,15,FALSE()),"")</f>
        <v>0.652</v>
      </c>
      <c r="E45" s="55">
        <f>IFERROR(VLOOKUP(B45,Raw_Data!A:N,14,FALSE()),"")</f>
        <v>12.9</v>
      </c>
      <c r="F45" s="55">
        <f>IFERROR(VLOOKUP(B45,Raw_Data!A:L,12,FALSE()),"")</f>
        <v>123</v>
      </c>
      <c r="G45" s="57" t="str">
        <f t="shared" si="2"/>
        <v>🟢 High Literacy</v>
      </c>
    </row>
    <row r="46" ht="19.5" customHeight="1" spans="2:19">
      <c r="B46" s="58" t="s">
        <v>60</v>
      </c>
      <c r="C46" s="59">
        <f>IFERROR(VLOOKUP(B46,Raw_Data!A:M,13,FALSE()),"")</f>
        <v>79.6</v>
      </c>
      <c r="D46" s="60">
        <f>IFERROR(VLOOKUP(B46,Raw_Data!A:O,15,FALSE()),"")</f>
        <v>0.684</v>
      </c>
      <c r="E46" s="59">
        <f>IFERROR(VLOOKUP(B46,Raw_Data!A:N,14,FALSE()),"")</f>
        <v>19.2</v>
      </c>
      <c r="F46" s="59">
        <f>IFERROR(VLOOKUP(B46,Raw_Data!A:L,12,FALSE()),"")</f>
        <v>189</v>
      </c>
      <c r="G46" s="61" t="str">
        <f t="shared" si="2"/>
        <v>🟢 High Literacy</v>
      </c>
    </row>
    <row r="47" ht="19.5" customHeight="1" spans="2:19">
      <c r="B47" s="54" t="s">
        <v>25</v>
      </c>
      <c r="C47" s="55">
        <f>IFERROR(VLOOKUP(B47,Raw_Data!A:M,13,FALSE()),"")</f>
        <v>63.8</v>
      </c>
      <c r="D47" s="56">
        <f>IFERROR(VLOOKUP(B47,Raw_Data!A:O,15,FALSE()),"")</f>
        <v>0.569</v>
      </c>
      <c r="E47" s="55">
        <f>IFERROR(VLOOKUP(B47,Raw_Data!A:N,14,FALSE()),"")</f>
        <v>25.4</v>
      </c>
      <c r="F47" s="55">
        <f>IFERROR(VLOOKUP(B47,Raw_Data!A:L,12,FALSE()),"")</f>
        <v>1106</v>
      </c>
      <c r="G47" s="57" t="str">
        <f t="shared" si="2"/>
        <v>🟡 Medium</v>
      </c>
    </row>
    <row r="48" ht="19.5" customHeight="1" spans="2:19">
      <c r="B48" s="58" t="s">
        <v>18</v>
      </c>
      <c r="C48" s="59">
        <f>IFERROR(VLOOKUP(B48,Raw_Data!A:M,13,FALSE()),"")</f>
        <v>67.7</v>
      </c>
      <c r="D48" s="60">
        <f>IFERROR(VLOOKUP(B48,Raw_Data!A:O,15,FALSE()),"")</f>
        <v>0.596</v>
      </c>
      <c r="E48" s="59">
        <f>IFERROR(VLOOKUP(B48,Raw_Data!A:N,14,FALSE()),"")</f>
        <v>20.2</v>
      </c>
      <c r="F48" s="59">
        <f>IFERROR(VLOOKUP(B48,Raw_Data!A:L,12,FALSE()),"")</f>
        <v>829</v>
      </c>
      <c r="G48" s="61" t="str">
        <f t="shared" si="2"/>
        <v>🟡 Medium</v>
      </c>
    </row>
    <row r="49" ht="19.5" customHeight="1" spans="2:19">
      <c r="B49" s="54" t="s">
        <v>33</v>
      </c>
      <c r="C49" s="55">
        <f>IFERROR(VLOOKUP(B49,Raw_Data!A:M,13,FALSE()),"")</f>
        <v>66.1</v>
      </c>
      <c r="D49" s="56">
        <f>IFERROR(VLOOKUP(B49,Raw_Data!A:O,15,FALSE()),"")</f>
        <v>0.628</v>
      </c>
      <c r="E49" s="55">
        <f>IFERROR(VLOOKUP(B49,Raw_Data!A:N,14,FALSE()),"")</f>
        <v>21.3</v>
      </c>
      <c r="F49" s="55">
        <f>IFERROR(VLOOKUP(B49,Raw_Data!A:L,12,FALSE()),"")</f>
        <v>200</v>
      </c>
      <c r="G49" s="57" t="str">
        <f t="shared" si="2"/>
        <v>🟡 Medium</v>
      </c>
    </row>
    <row r="50" ht="19.5" customHeight="1" spans="2:19">
      <c r="B50" s="58" t="s">
        <v>30</v>
      </c>
      <c r="C50" s="59">
        <f>IFERROR(VLOOKUP(B50,Raw_Data!A:M,13,FALSE()),"")</f>
        <v>70.6</v>
      </c>
      <c r="D50" s="60">
        <f>IFERROR(VLOOKUP(B50,Raw_Data!A:O,15,FALSE()),"")</f>
        <v>0.649</v>
      </c>
      <c r="E50" s="59">
        <f>IFERROR(VLOOKUP(B50,Raw_Data!A:N,14,FALSE()),"")</f>
        <v>20.3</v>
      </c>
      <c r="F50" s="59">
        <f>IFERROR(VLOOKUP(B50,Raw_Data!A:L,12,FALSE()),"")</f>
        <v>236</v>
      </c>
      <c r="G50" s="61" t="str">
        <f t="shared" si="2"/>
        <v>🟡 Medium</v>
      </c>
    </row>
    <row r="51" ht="19.5" customHeight="1" spans="2:19">
      <c r="B51" s="54" t="s">
        <v>50</v>
      </c>
      <c r="C51" s="55">
        <f>IFERROR(VLOOKUP(B51,Raw_Data!A:M,13,FALSE()),"")</f>
        <v>67.6</v>
      </c>
      <c r="D51" s="56">
        <f>IFERROR(VLOOKUP(B51,Raw_Data!A:O,15,FALSE()),"")</f>
        <v>0.599</v>
      </c>
      <c r="E51" s="55">
        <f>IFERROR(VLOOKUP(B51,Raw_Data!A:N,14,FALSE()),"")</f>
        <v>22.4</v>
      </c>
      <c r="F51" s="55">
        <f>IFERROR(VLOOKUP(B51,Raw_Data!A:L,12,FALSE()),"")</f>
        <v>414</v>
      </c>
      <c r="G51" s="57" t="str">
        <f t="shared" si="2"/>
        <v>🟡 Medium</v>
      </c>
    </row>
    <row r="52" ht="19.5" customHeight="1" spans="2:19">
      <c r="B52" s="58" t="s">
        <v>42</v>
      </c>
      <c r="C52" s="59">
        <f>IFERROR(VLOOKUP(B52,Raw_Data!A:M,13,FALSE()),"")</f>
        <v>67.4</v>
      </c>
      <c r="D52" s="60">
        <f>IFERROR(VLOOKUP(B52,Raw_Data!A:O,15,FALSE()),"")</f>
        <v>0.649</v>
      </c>
      <c r="E52" s="59">
        <f>IFERROR(VLOOKUP(B52,Raw_Data!A:N,14,FALSE()),"")</f>
        <v>-9</v>
      </c>
      <c r="F52" s="59">
        <f>IFERROR(VLOOKUP(B52,Raw_Data!A:L,12,FALSE()),"")</f>
        <v>304</v>
      </c>
      <c r="G52" s="61" t="str">
        <f t="shared" si="2"/>
        <v>🟡 Medium</v>
      </c>
    </row>
    <row r="53" ht="19.5" customHeight="1"/>
    <row r="54" ht="19.5" customHeight="1"/>
    <row r="55" ht="21.75" customHeight="1" spans="2:19">
      <c r="B55" s="62" t="s">
        <v>188</v>
      </c>
      <c r="C55" s="62"/>
      <c r="D55" s="62"/>
      <c r="E55" s="62"/>
      <c r="F55" s="62"/>
      <c r="G55" s="62"/>
      <c r="H55" s="62"/>
      <c r="I55" s="62"/>
      <c r="J55" s="62"/>
      <c r="K55" s="62"/>
      <c r="L55" s="62"/>
      <c r="M55" s="62"/>
      <c r="N55" s="62"/>
      <c r="O55" s="62"/>
      <c r="P55" s="62"/>
      <c r="Q55" s="62"/>
      <c r="R55" s="62"/>
      <c r="S55" s="62"/>
    </row>
    <row r="56" ht="19.5" customHeight="1" spans="2:19">
      <c r="B56" s="63" t="s">
        <v>189</v>
      </c>
      <c r="C56" s="63"/>
      <c r="D56" s="63"/>
      <c r="E56" s="63"/>
      <c r="F56" s="63"/>
      <c r="G56" s="63"/>
      <c r="H56" s="63"/>
      <c r="I56" s="63"/>
      <c r="J56" s="63"/>
      <c r="K56" s="63"/>
      <c r="L56" s="63"/>
      <c r="M56" s="63"/>
      <c r="N56" s="63"/>
      <c r="O56" s="63"/>
      <c r="P56" s="63"/>
      <c r="Q56" s="63"/>
      <c r="R56" s="63"/>
      <c r="S56" s="63"/>
    </row>
    <row r="57" ht="19.5" customHeight="1" spans="2:19">
      <c r="B57" s="64" t="s">
        <v>190</v>
      </c>
      <c r="C57" s="64"/>
      <c r="D57" s="64"/>
      <c r="E57" s="64"/>
      <c r="F57" s="64"/>
      <c r="G57" s="64"/>
      <c r="H57" s="64"/>
      <c r="I57" s="64"/>
      <c r="J57" s="64"/>
      <c r="K57" s="64"/>
      <c r="L57" s="64"/>
      <c r="M57" s="64"/>
      <c r="N57" s="64"/>
      <c r="O57" s="64"/>
      <c r="P57" s="64"/>
      <c r="Q57" s="64"/>
      <c r="R57" s="64"/>
      <c r="S57" s="64"/>
    </row>
    <row r="58" ht="19.5" customHeight="1" spans="2:19">
      <c r="B58" s="63" t="s">
        <v>191</v>
      </c>
      <c r="C58" s="63"/>
      <c r="D58" s="63"/>
      <c r="E58" s="63"/>
      <c r="F58" s="63"/>
      <c r="G58" s="63"/>
      <c r="H58" s="63"/>
      <c r="I58" s="63"/>
      <c r="J58" s="63"/>
      <c r="K58" s="63"/>
      <c r="L58" s="63"/>
      <c r="M58" s="63"/>
      <c r="N58" s="63"/>
      <c r="O58" s="63"/>
      <c r="P58" s="63"/>
      <c r="Q58" s="63"/>
      <c r="R58" s="63"/>
      <c r="S58" s="63"/>
    </row>
    <row r="59" ht="19.5" customHeight="1" spans="2:19">
      <c r="B59" s="64" t="s">
        <v>192</v>
      </c>
      <c r="C59" s="64"/>
      <c r="D59" s="64"/>
      <c r="E59" s="64"/>
      <c r="F59" s="64"/>
      <c r="G59" s="64"/>
      <c r="H59" s="64"/>
      <c r="I59" s="64"/>
      <c r="J59" s="64"/>
      <c r="K59" s="64"/>
      <c r="L59" s="64"/>
      <c r="M59" s="64"/>
      <c r="N59" s="64"/>
      <c r="O59" s="64"/>
      <c r="P59" s="64"/>
      <c r="Q59" s="64"/>
      <c r="R59" s="64"/>
      <c r="S59" s="64"/>
    </row>
    <row r="60" ht="19.5" customHeight="1" spans="2:19">
      <c r="B60" s="63" t="s">
        <v>193</v>
      </c>
      <c r="C60" s="63"/>
      <c r="D60" s="63"/>
      <c r="E60" s="63"/>
      <c r="F60" s="63"/>
      <c r="G60" s="63"/>
      <c r="H60" s="63"/>
      <c r="I60" s="63"/>
      <c r="J60" s="63"/>
      <c r="K60" s="63"/>
      <c r="L60" s="63"/>
      <c r="M60" s="63"/>
      <c r="N60" s="63"/>
      <c r="O60" s="63"/>
      <c r="P60" s="63"/>
      <c r="Q60" s="63"/>
      <c r="R60" s="63"/>
      <c r="S60" s="63"/>
    </row>
    <row r="61" ht="19.5" customHeight="1" spans="2:19">
      <c r="B61" s="64" t="s">
        <v>194</v>
      </c>
      <c r="C61" s="64"/>
      <c r="D61" s="64"/>
      <c r="E61" s="64"/>
      <c r="F61" s="64"/>
      <c r="G61" s="64"/>
      <c r="H61" s="64"/>
      <c r="I61" s="64"/>
      <c r="J61" s="64"/>
      <c r="K61" s="64"/>
      <c r="L61" s="64"/>
      <c r="M61" s="64"/>
      <c r="N61" s="64"/>
      <c r="O61" s="64"/>
      <c r="P61" s="64"/>
      <c r="Q61" s="64"/>
      <c r="R61" s="64"/>
      <c r="S61" s="64"/>
    </row>
    <row r="62" ht="19.5" customHeight="1"/>
    <row r="63" ht="19.5" customHeight="1"/>
    <row r="64" ht="19.5" customHeight="1"/>
    <row r="65" ht="19.5" customHeight="1"/>
    <row r="66" ht="19.5" customHeight="1"/>
    <row r="67" ht="19.5" customHeight="1"/>
    <row r="68" ht="19.5" customHeight="1"/>
    <row r="69" ht="19.5" customHeight="1"/>
  </sheetData>
  <mergeCells count="60">
    <mergeCell ref="B1:R1"/>
    <mergeCell ref="B2:R2"/>
    <mergeCell ref="B9:C9"/>
    <mergeCell ref="D9:E9"/>
    <mergeCell ref="F9:G9"/>
    <mergeCell ref="H9:I9"/>
    <mergeCell ref="J9:K9"/>
    <mergeCell ref="L9:M9"/>
    <mergeCell ref="B11:S11"/>
    <mergeCell ref="C12:E12"/>
    <mergeCell ref="F12:J12"/>
    <mergeCell ref="B13:E13"/>
    <mergeCell ref="F13:J13"/>
    <mergeCell ref="B14:E14"/>
    <mergeCell ref="F14:J14"/>
    <mergeCell ref="B15:E15"/>
    <mergeCell ref="F15:J15"/>
    <mergeCell ref="B16:E16"/>
    <mergeCell ref="F16:J16"/>
    <mergeCell ref="B17:E17"/>
    <mergeCell ref="F17:J17"/>
    <mergeCell ref="B18:E18"/>
    <mergeCell ref="F18:J18"/>
    <mergeCell ref="B19:E19"/>
    <mergeCell ref="F19:J19"/>
    <mergeCell ref="B20:E20"/>
    <mergeCell ref="F20:J20"/>
    <mergeCell ref="B21:E21"/>
    <mergeCell ref="F21:J21"/>
    <mergeCell ref="B22:E22"/>
    <mergeCell ref="F22:J22"/>
    <mergeCell ref="B23:E23"/>
    <mergeCell ref="F23:J23"/>
    <mergeCell ref="B24:E24"/>
    <mergeCell ref="F24:J24"/>
    <mergeCell ref="B25:E25"/>
    <mergeCell ref="F25:J25"/>
    <mergeCell ref="B26:E26"/>
    <mergeCell ref="F26:J26"/>
    <mergeCell ref="B29:S29"/>
    <mergeCell ref="B39:S39"/>
    <mergeCell ref="B55:S55"/>
    <mergeCell ref="B56:S56"/>
    <mergeCell ref="B57:S57"/>
    <mergeCell ref="B58:S58"/>
    <mergeCell ref="B59:S59"/>
    <mergeCell ref="B60:S60"/>
    <mergeCell ref="B61:S61"/>
    <mergeCell ref="B4:C5"/>
    <mergeCell ref="D4:E5"/>
    <mergeCell ref="F4:G5"/>
    <mergeCell ref="H4:I5"/>
    <mergeCell ref="J4:K5"/>
    <mergeCell ref="L4:M5"/>
    <mergeCell ref="B6:C8"/>
    <mergeCell ref="D6:E8"/>
    <mergeCell ref="F6:G8"/>
    <mergeCell ref="H6:I8"/>
    <mergeCell ref="J6:K8"/>
    <mergeCell ref="L6:M8"/>
  </mergeCells>
  <conditionalFormatting sqref="C41:C52">
    <cfRule type="colorScale" priority="2">
      <colorScale>
        <cfvo type="min"/>
        <cfvo type="percentile" val="50"/>
        <cfvo type="max"/>
        <color rgb="FFFFC7CE"/>
        <color rgb="FFFFEB9C"/>
        <color rgb="FFC6EFCE"/>
      </colorScale>
    </cfRule>
  </conditionalFormatting>
  <pageMargins left="0.75" right="0.75" top="1" bottom="1" header="0.511811023622047" footer="0.511811023622047"/>
  <pageSetup paperSize="9" orientation="portrait" horizontalDpi="300" verticalDpi="300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6A1B9A"/>
  </sheetPr>
  <dimension ref="B1:B94"/>
  <sheetViews>
    <sheetView showGridLines="0" workbookViewId="0">
      <selection activeCell="A1" sqref="A1"/>
    </sheetView>
  </sheetViews>
  <sheetFormatPr defaultColWidth="8.67592592592593" defaultRowHeight="14.4" outlineLevelCol="1"/>
  <cols>
    <col min="1" max="1" width="3" style="1" customWidth="1"/>
    <col min="2" max="2" width="120" style="1" customWidth="1"/>
  </cols>
  <sheetData>
    <row r="1" ht="49.5" customHeight="1" spans="2:2">
      <c r="B1" s="2" t="s">
        <v>195</v>
      </c>
    </row>
    <row r="3" ht="25.5" customHeight="1" spans="2:2">
      <c r="B3" s="3" t="s">
        <v>196</v>
      </c>
    </row>
    <row r="4" ht="18" customHeight="1" spans="2:2">
      <c r="B4" s="4" t="s">
        <v>197</v>
      </c>
    </row>
    <row r="5" ht="18" customHeight="1" spans="2:2">
      <c r="B5" s="5" t="s">
        <v>198</v>
      </c>
    </row>
    <row r="6" ht="18" customHeight="1" spans="2:2">
      <c r="B6" s="4" t="s">
        <v>199</v>
      </c>
    </row>
    <row r="7" ht="18" customHeight="1" spans="2:2">
      <c r="B7" s="5" t="s">
        <v>200</v>
      </c>
    </row>
    <row r="8" ht="18" customHeight="1" spans="2:2">
      <c r="B8" s="4" t="s">
        <v>201</v>
      </c>
    </row>
    <row r="9" ht="18" customHeight="1" spans="2:2">
      <c r="B9" s="5" t="s">
        <v>202</v>
      </c>
    </row>
    <row r="10" ht="18" customHeight="1" spans="2:2">
      <c r="B10" s="4" t="s">
        <v>203</v>
      </c>
    </row>
    <row r="12" ht="25.5" customHeight="1" spans="2:2">
      <c r="B12" s="6" t="s">
        <v>204</v>
      </c>
    </row>
    <row r="13" ht="18" customHeight="1" spans="2:2">
      <c r="B13" s="5" t="s">
        <v>205</v>
      </c>
    </row>
    <row r="14" ht="18" customHeight="1" spans="2:2">
      <c r="B14" s="4" t="s">
        <v>206</v>
      </c>
    </row>
    <row r="15" ht="18" customHeight="1" spans="2:2">
      <c r="B15" s="5" t="s">
        <v>207</v>
      </c>
    </row>
    <row r="16" ht="18" customHeight="1" spans="2:2">
      <c r="B16" s="4" t="s">
        <v>208</v>
      </c>
    </row>
    <row r="17" ht="18" customHeight="1" spans="2:2">
      <c r="B17" s="5" t="s">
        <v>209</v>
      </c>
    </row>
    <row r="18" ht="18" customHeight="1" spans="2:2">
      <c r="B18" s="4" t="s">
        <v>210</v>
      </c>
    </row>
    <row r="19" ht="18" customHeight="1" spans="2:2">
      <c r="B19" s="5" t="s">
        <v>211</v>
      </c>
    </row>
    <row r="21" ht="25.5" customHeight="1" spans="2:2">
      <c r="B21" s="7" t="s">
        <v>212</v>
      </c>
    </row>
    <row r="22" ht="18" customHeight="1" spans="2:2">
      <c r="B22" s="4" t="s">
        <v>213</v>
      </c>
    </row>
    <row r="23" ht="18" customHeight="1" spans="2:2">
      <c r="B23" s="5" t="s">
        <v>214</v>
      </c>
    </row>
    <row r="24" ht="18" customHeight="1" spans="2:2">
      <c r="B24" s="4" t="s">
        <v>215</v>
      </c>
    </row>
    <row r="25" ht="18" customHeight="1" spans="2:2">
      <c r="B25" s="5" t="s">
        <v>216</v>
      </c>
    </row>
    <row r="26" ht="18" customHeight="1" spans="2:2">
      <c r="B26" s="4" t="s">
        <v>217</v>
      </c>
    </row>
    <row r="27" ht="18" customHeight="1" spans="2:2">
      <c r="B27" s="5" t="s">
        <v>218</v>
      </c>
    </row>
    <row r="28" ht="18" customHeight="1" spans="2:2">
      <c r="B28" s="4" t="s">
        <v>219</v>
      </c>
    </row>
    <row r="29" ht="18" customHeight="1" spans="2:2">
      <c r="B29" s="5" t="s">
        <v>220</v>
      </c>
    </row>
    <row r="30" ht="18" customHeight="1" spans="2:2">
      <c r="B30" s="4" t="s">
        <v>221</v>
      </c>
    </row>
    <row r="31" ht="18" customHeight="1" spans="2:2">
      <c r="B31" s="5" t="s">
        <v>222</v>
      </c>
    </row>
    <row r="32" ht="18" customHeight="1" spans="2:2">
      <c r="B32" s="4" t="s">
        <v>223</v>
      </c>
    </row>
    <row r="33" ht="18" customHeight="1" spans="2:2">
      <c r="B33" s="5" t="s">
        <v>224</v>
      </c>
    </row>
    <row r="34" ht="18" customHeight="1" spans="2:2">
      <c r="B34" s="4" t="s">
        <v>225</v>
      </c>
    </row>
    <row r="35" ht="18" customHeight="1" spans="2:2">
      <c r="B35" s="5" t="s">
        <v>226</v>
      </c>
    </row>
    <row r="37" ht="25.5" customHeight="1" spans="2:2">
      <c r="B37" s="8" t="s">
        <v>227</v>
      </c>
    </row>
    <row r="38" ht="18" customHeight="1" spans="2:2">
      <c r="B38" s="4" t="s">
        <v>228</v>
      </c>
    </row>
    <row r="39" ht="18" customHeight="1" spans="2:2">
      <c r="B39" s="5" t="s">
        <v>229</v>
      </c>
    </row>
    <row r="40" ht="18" customHeight="1" spans="2:2">
      <c r="B40" s="4" t="s">
        <v>230</v>
      </c>
    </row>
    <row r="41" ht="18" customHeight="1" spans="2:2">
      <c r="B41" s="5" t="s">
        <v>231</v>
      </c>
    </row>
    <row r="42" ht="18" customHeight="1" spans="2:2">
      <c r="B42" s="4" t="s">
        <v>232</v>
      </c>
    </row>
    <row r="43" ht="18" customHeight="1" spans="2:2">
      <c r="B43" s="5" t="s">
        <v>233</v>
      </c>
    </row>
    <row r="44" ht="18" customHeight="1" spans="2:2">
      <c r="B44" s="4" t="s">
        <v>234</v>
      </c>
    </row>
    <row r="46" ht="25.5" customHeight="1" spans="2:2">
      <c r="B46" s="9" t="s">
        <v>235</v>
      </c>
    </row>
    <row r="47" ht="18" customHeight="1" spans="2:2">
      <c r="B47" s="5" t="s">
        <v>236</v>
      </c>
    </row>
    <row r="48" ht="18" customHeight="1" spans="2:2">
      <c r="B48" s="4" t="s">
        <v>237</v>
      </c>
    </row>
    <row r="49" ht="18" customHeight="1" spans="2:2">
      <c r="B49" s="5" t="s">
        <v>238</v>
      </c>
    </row>
    <row r="50" ht="18" customHeight="1" spans="2:2">
      <c r="B50" s="4" t="s">
        <v>239</v>
      </c>
    </row>
    <row r="51" ht="18" customHeight="1" spans="2:2">
      <c r="B51" s="5" t="s">
        <v>240</v>
      </c>
    </row>
    <row r="52" ht="18" customHeight="1" spans="2:2">
      <c r="B52" s="4" t="s">
        <v>241</v>
      </c>
    </row>
    <row r="53" ht="18" customHeight="1" spans="2:2">
      <c r="B53" s="5" t="s">
        <v>242</v>
      </c>
    </row>
    <row r="54" ht="18" customHeight="1" spans="2:2">
      <c r="B54" s="4" t="s">
        <v>243</v>
      </c>
    </row>
    <row r="55" ht="18" customHeight="1" spans="2:2">
      <c r="B55" s="5" t="s">
        <v>244</v>
      </c>
    </row>
    <row r="57" ht="25.5" customHeight="1" spans="2:2">
      <c r="B57" s="10" t="s">
        <v>245</v>
      </c>
    </row>
    <row r="58" ht="18" customHeight="1" spans="2:2">
      <c r="B58" s="4" t="s">
        <v>246</v>
      </c>
    </row>
    <row r="59" ht="18" customHeight="1" spans="2:2">
      <c r="B59" s="5" t="s">
        <v>237</v>
      </c>
    </row>
    <row r="60" ht="18" customHeight="1" spans="2:2">
      <c r="B60" s="4" t="s">
        <v>247</v>
      </c>
    </row>
    <row r="61" ht="18" customHeight="1" spans="2:2">
      <c r="B61" s="5" t="s">
        <v>248</v>
      </c>
    </row>
    <row r="62" ht="18" customHeight="1" spans="2:2">
      <c r="B62" s="4" t="s">
        <v>249</v>
      </c>
    </row>
    <row r="63" ht="18" customHeight="1" spans="2:2">
      <c r="B63" s="5" t="s">
        <v>250</v>
      </c>
    </row>
    <row r="64" ht="18" customHeight="1" spans="2:2">
      <c r="B64" s="4" t="s">
        <v>251</v>
      </c>
    </row>
    <row r="65" ht="18" customHeight="1" spans="2:2">
      <c r="B65" s="5" t="s">
        <v>252</v>
      </c>
    </row>
    <row r="66" ht="18" customHeight="1" spans="2:2">
      <c r="B66" s="4" t="s">
        <v>237</v>
      </c>
    </row>
    <row r="67" ht="18" customHeight="1" spans="2:2">
      <c r="B67" s="5" t="s">
        <v>253</v>
      </c>
    </row>
    <row r="68" ht="18" customHeight="1" spans="2:2">
      <c r="B68" s="4" t="s">
        <v>254</v>
      </c>
    </row>
    <row r="69" ht="18" customHeight="1" spans="2:2">
      <c r="B69" s="5" t="s">
        <v>255</v>
      </c>
    </row>
    <row r="70" ht="18" customHeight="1" spans="2:2">
      <c r="B70" s="4" t="s">
        <v>256</v>
      </c>
    </row>
    <row r="71" ht="18" customHeight="1" spans="2:2">
      <c r="B71" s="5" t="s">
        <v>257</v>
      </c>
    </row>
    <row r="72" ht="18" customHeight="1" spans="2:2">
      <c r="B72" s="4" t="s">
        <v>237</v>
      </c>
    </row>
    <row r="73" ht="18" customHeight="1" spans="2:2">
      <c r="B73" s="5" t="s">
        <v>258</v>
      </c>
    </row>
    <row r="75" ht="25.5" customHeight="1" spans="2:2">
      <c r="B75" s="3" t="s">
        <v>259</v>
      </c>
    </row>
    <row r="76" ht="18" customHeight="1" spans="2:2">
      <c r="B76" s="4" t="s">
        <v>260</v>
      </c>
    </row>
    <row r="77" ht="18" customHeight="1" spans="2:2">
      <c r="B77" s="5" t="s">
        <v>261</v>
      </c>
    </row>
    <row r="78" ht="18" customHeight="1" spans="2:2">
      <c r="B78" s="4" t="s">
        <v>262</v>
      </c>
    </row>
    <row r="79" ht="18" customHeight="1" spans="2:2">
      <c r="B79" s="5" t="s">
        <v>237</v>
      </c>
    </row>
    <row r="80" ht="18" customHeight="1" spans="2:2">
      <c r="B80" s="4" t="s">
        <v>263</v>
      </c>
    </row>
    <row r="81" ht="18" customHeight="1" spans="2:2">
      <c r="B81" s="5" t="s">
        <v>264</v>
      </c>
    </row>
    <row r="82" ht="18" customHeight="1" spans="2:2">
      <c r="B82" s="4" t="s">
        <v>265</v>
      </c>
    </row>
    <row r="83" ht="18" customHeight="1" spans="2:2">
      <c r="B83" s="5" t="s">
        <v>237</v>
      </c>
    </row>
    <row r="84" ht="18" customHeight="1" spans="2:2">
      <c r="B84" s="4" t="s">
        <v>266</v>
      </c>
    </row>
    <row r="85" ht="18" customHeight="1" spans="2:2">
      <c r="B85" s="5" t="s">
        <v>267</v>
      </c>
    </row>
    <row r="86" ht="18" customHeight="1" spans="2:2">
      <c r="B86" s="4" t="s">
        <v>268</v>
      </c>
    </row>
    <row r="87" ht="18" customHeight="1" spans="2:2">
      <c r="B87" s="5" t="s">
        <v>237</v>
      </c>
    </row>
    <row r="88" ht="18" customHeight="1" spans="2:2">
      <c r="B88" s="4" t="s">
        <v>269</v>
      </c>
    </row>
    <row r="89" ht="18" customHeight="1" spans="2:2">
      <c r="B89" s="5" t="s">
        <v>270</v>
      </c>
    </row>
    <row r="90" ht="18" customHeight="1" spans="2:2">
      <c r="B90" s="4" t="s">
        <v>271</v>
      </c>
    </row>
    <row r="91" ht="18" customHeight="1" spans="2:2">
      <c r="B91" s="5" t="s">
        <v>237</v>
      </c>
    </row>
    <row r="92" ht="18" customHeight="1" spans="2:2">
      <c r="B92" s="4" t="s">
        <v>272</v>
      </c>
    </row>
    <row r="93" ht="18" customHeight="1" spans="2:2">
      <c r="B93" s="5" t="s">
        <v>273</v>
      </c>
    </row>
    <row r="94" ht="18" customHeight="1" spans="2:2">
      <c r="B94" s="4" t="s">
        <v>274</v>
      </c>
    </row>
  </sheetData>
  <pageMargins left="0.75" right="0.75" top="1" bottom="1" header="0.511811023622047" footer="0.511811023622047"/>
  <pageSetup paperSize="9" orientation="portrait" horizontalDpi="300" verticalDpi="300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LibreOffice/24.2.7.2$Linux_X86_64 LibreOffice_project/420$Build-2</Application>
  <HeadingPairs>
    <vt:vector size="2" baseType="variant">
      <vt:variant>
        <vt:lpstr>工作表</vt:lpstr>
      </vt:variant>
      <vt:variant>
        <vt:i4>7</vt:i4>
      </vt:variant>
    </vt:vector>
  </HeadingPairs>
  <TitlesOfParts>
    <vt:vector size="7" baseType="lpstr">
      <vt:lpstr>Raw_Data</vt:lpstr>
      <vt:lpstr>Data_Cleaning</vt:lpstr>
      <vt:lpstr>Analysis</vt:lpstr>
      <vt:lpstr>Pivot_Summary</vt:lpstr>
      <vt:lpstr>Charts</vt:lpstr>
      <vt:lpstr>Dashboard</vt:lpstr>
      <vt:lpstr>README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Sneha Dwivedi</cp:lastModifiedBy>
  <cp:revision>3</cp:revision>
  <dcterms:created xsi:type="dcterms:W3CDTF">2026-06-12T18:01:00Z</dcterms:created>
  <dcterms:modified xsi:type="dcterms:W3CDTF">2026-06-14T05:49:56Z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12DD4348D0A6426F9EE1C8596146A35D_12</vt:lpwstr>
  </property>
  <property fmtid="{D5CDD505-2E9C-101B-9397-08002B2CF9AE}" pid="3" name="KSOProductBuildVer">
    <vt:lpwstr>1033-12.1.0.25242</vt:lpwstr>
  </property>
  <property fmtid="{D5CDD505-2E9C-101B-9397-08002B2CF9AE}" pid="4" name="CalculationRule">
    <vt:i4>0</vt:i4>
  </property>
</Properties>
</file>